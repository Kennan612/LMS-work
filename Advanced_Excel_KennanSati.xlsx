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96717A7-CB64-4F6F-9AD6-09A8B6F0DA97}" xr6:coauthVersionLast="47" xr6:coauthVersionMax="47" xr10:uidLastSave="{00000000-0000-0000-0000-000000000000}"/>
  <bookViews>
    <workbookView xWindow="-110" yWindow="-110" windowWidth="19420" windowHeight="10300" tabRatio="808" firstSheet="1" activeTab="7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definedNames>
    <definedName name="TaxRate">'Tax Rate'!$A$2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9" l="1"/>
  <c r="H9" i="9"/>
  <c r="A5" i="10"/>
  <c r="A2" i="10"/>
  <c r="H6" i="9"/>
  <c r="H2" i="9"/>
  <c r="G24" i="8"/>
  <c r="G23" i="8"/>
  <c r="H19" i="8"/>
  <c r="H14" i="8"/>
  <c r="H10" i="8"/>
  <c r="C5" i="8"/>
  <c r="C4" i="8"/>
  <c r="C3" i="8"/>
  <c r="C2" i="8"/>
  <c r="A32" i="7"/>
  <c r="B29" i="7"/>
  <c r="B25" i="7"/>
  <c r="B22" i="7"/>
  <c r="A15" i="7"/>
  <c r="A11" i="7"/>
  <c r="B6" i="7"/>
  <c r="B2" i="7"/>
  <c r="F3" i="6"/>
  <c r="G2" i="6"/>
  <c r="F2" i="6"/>
  <c r="E12" i="5"/>
  <c r="E11" i="5"/>
  <c r="E10" i="5"/>
  <c r="E8" i="5"/>
  <c r="E7" i="5"/>
  <c r="E6" i="5"/>
  <c r="E5" i="5"/>
  <c r="E4" i="5"/>
  <c r="E3" i="5"/>
  <c r="E2" i="5"/>
  <c r="B5" i="4"/>
  <c r="B9" i="12"/>
  <c r="E5" i="12"/>
  <c r="D5" i="12"/>
  <c r="C5" i="12"/>
  <c r="B5" i="12"/>
  <c r="C4" i="12"/>
  <c r="D4" i="12"/>
  <c r="E4" i="12"/>
  <c r="B4" i="12"/>
  <c r="E3" i="12"/>
  <c r="E2" i="12"/>
  <c r="A3" i="11"/>
  <c r="B4" i="11"/>
  <c r="B3" i="11"/>
  <c r="A2" i="11"/>
  <c r="A1" i="11"/>
  <c r="B4" i="4"/>
  <c r="I12" i="9"/>
  <c r="I9" i="9"/>
  <c r="H24" i="8"/>
  <c r="H23" i="8"/>
</calcChain>
</file>

<file path=xl/sharedStrings.xml><?xml version="1.0" encoding="utf-8"?>
<sst xmlns="http://schemas.openxmlformats.org/spreadsheetml/2006/main" count="150" uniqueCount="73">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</sst>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zoomScale="95" zoomScaleNormal="95" workbookViewId="0">
      <selection activeCell="B10" sqref="B10"/>
    </sheetView>
  </sheetViews>
  <sheetFormatPr defaultRowHeight="14.5" x14ac:dyDescent="0.35"/>
  <cols>
    <col min="1" max="1" width="11.1796875" customWidth="1"/>
    <col min="2" max="2" width="17" customWidth="1"/>
    <col min="3" max="3" width="16.81640625" customWidth="1"/>
    <col min="4" max="4" width="12.453125" bestFit="1" customWidth="1"/>
    <col min="6" max="6" width="8.81640625" customWidth="1"/>
  </cols>
  <sheetData>
    <row r="1" spans="1:7" x14ac:dyDescent="0.35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 x14ac:dyDescent="0.35">
      <c r="A2" s="2" t="s">
        <v>5</v>
      </c>
      <c r="B2">
        <v>10</v>
      </c>
      <c r="C2">
        <v>8</v>
      </c>
      <c r="D2">
        <v>5</v>
      </c>
      <c r="E2">
        <f>B2+C2+D2</f>
        <v>23</v>
      </c>
      <c r="G2" s="3">
        <v>0.1</v>
      </c>
    </row>
    <row r="3" spans="1:7" x14ac:dyDescent="0.35">
      <c r="A3" s="2" t="s">
        <v>6</v>
      </c>
      <c r="B3">
        <v>4</v>
      </c>
      <c r="C3">
        <v>3</v>
      </c>
      <c r="D3">
        <v>2</v>
      </c>
      <c r="E3">
        <f>B3+C3+D3</f>
        <v>9</v>
      </c>
    </row>
    <row r="4" spans="1:7" x14ac:dyDescent="0.35">
      <c r="A4" s="2" t="s">
        <v>7</v>
      </c>
      <c r="B4">
        <f>B2-B3</f>
        <v>6</v>
      </c>
      <c r="C4">
        <f>C2-C3</f>
        <v>5</v>
      </c>
      <c r="D4">
        <f>D2-D3</f>
        <v>3</v>
      </c>
      <c r="E4">
        <f>E2-E3</f>
        <v>14</v>
      </c>
    </row>
    <row r="5" spans="1:7" x14ac:dyDescent="0.35">
      <c r="A5" s="2" t="s">
        <v>8</v>
      </c>
      <c r="B5">
        <f>B4*$G$2</f>
        <v>0.60000000000000009</v>
      </c>
      <c r="C5">
        <f>C4*'Tax Rate'!$A$2</f>
        <v>0.5</v>
      </c>
      <c r="D5">
        <f>D4*TaxRate</f>
        <v>0.30000000000000004</v>
      </c>
      <c r="E5">
        <f>E4*TaxRate</f>
        <v>1.4000000000000001</v>
      </c>
    </row>
    <row r="6" spans="1:7" x14ac:dyDescent="0.35">
      <c r="A6" s="2"/>
      <c r="C6" s="1"/>
    </row>
    <row r="7" spans="1:7" x14ac:dyDescent="0.35">
      <c r="C7" s="1"/>
    </row>
    <row r="8" spans="1:7" x14ac:dyDescent="0.35">
      <c r="C8" s="1"/>
    </row>
    <row r="9" spans="1:7" x14ac:dyDescent="0.35">
      <c r="A9" s="2" t="s">
        <v>9</v>
      </c>
      <c r="B9">
        <f>E4/2</f>
        <v>7</v>
      </c>
      <c r="C9" s="1"/>
      <c r="D9" s="6"/>
    </row>
    <row r="10" spans="1:7" x14ac:dyDescent="0.35">
      <c r="C10" s="1"/>
      <c r="D10" s="6"/>
    </row>
    <row r="11" spans="1:7" x14ac:dyDescent="0.35">
      <c r="C11" s="1"/>
    </row>
    <row r="12" spans="1:7" x14ac:dyDescent="0.35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A2"/>
  <sheetViews>
    <sheetView zoomScale="96" zoomScaleNormal="96" workbookViewId="0">
      <selection activeCell="A2" sqref="A2"/>
    </sheetView>
  </sheetViews>
  <sheetFormatPr defaultRowHeight="14.5" x14ac:dyDescent="0.35"/>
  <sheetData>
    <row r="1" spans="1:1" x14ac:dyDescent="0.35">
      <c r="A1" s="2" t="s">
        <v>4</v>
      </c>
    </row>
    <row r="2" spans="1:1" x14ac:dyDescent="0.35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zoomScale="124" zoomScaleNormal="124" workbookViewId="0">
      <selection activeCell="B5" sqref="B5"/>
    </sheetView>
  </sheetViews>
  <sheetFormatPr defaultRowHeight="14.5" x14ac:dyDescent="0.35"/>
  <cols>
    <col min="2" max="2" width="14.453125" bestFit="1" customWidth="1"/>
  </cols>
  <sheetData>
    <row r="1" spans="1:4" x14ac:dyDescent="0.35">
      <c r="B1" s="2" t="s">
        <v>0</v>
      </c>
      <c r="D1" s="2" t="s">
        <v>4</v>
      </c>
    </row>
    <row r="2" spans="1:4" x14ac:dyDescent="0.35">
      <c r="A2" s="2" t="s">
        <v>5</v>
      </c>
      <c r="B2">
        <v>10</v>
      </c>
      <c r="D2" s="3">
        <v>0.1</v>
      </c>
    </row>
    <row r="3" spans="1:4" x14ac:dyDescent="0.35">
      <c r="A3" s="2" t="s">
        <v>6</v>
      </c>
      <c r="B3">
        <v>4</v>
      </c>
    </row>
    <row r="4" spans="1:4" x14ac:dyDescent="0.35">
      <c r="A4" s="2" t="s">
        <v>7</v>
      </c>
      <c r="B4">
        <f>B2-B3</f>
        <v>6</v>
      </c>
    </row>
    <row r="5" spans="1:4" x14ac:dyDescent="0.35">
      <c r="A5" s="2" t="s">
        <v>8</v>
      </c>
      <c r="B5">
        <f>(B2-B3)*D2</f>
        <v>0.60000000000000009</v>
      </c>
    </row>
    <row r="7" spans="1:4" x14ac:dyDescent="0.35">
      <c r="A7" s="4" t="s">
        <v>10</v>
      </c>
    </row>
    <row r="8" spans="1:4" x14ac:dyDescent="0.35">
      <c r="A8" s="4" t="s">
        <v>11</v>
      </c>
    </row>
    <row r="9" spans="1:4" x14ac:dyDescent="0.35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E12"/>
  <sheetViews>
    <sheetView zoomScale="112" zoomScaleNormal="112" workbookViewId="0">
      <selection activeCell="E11" sqref="E11"/>
    </sheetView>
  </sheetViews>
  <sheetFormatPr defaultRowHeight="14.5" x14ac:dyDescent="0.35"/>
  <cols>
    <col min="1" max="1" width="13.7265625" customWidth="1"/>
    <col min="2" max="2" width="12.26953125" bestFit="1" customWidth="1"/>
    <col min="3" max="3" width="3.1796875" customWidth="1"/>
    <col min="4" max="4" width="28.26953125" bestFit="1" customWidth="1"/>
    <col min="5" max="5" width="12" bestFit="1" customWidth="1"/>
  </cols>
  <sheetData>
    <row r="1" spans="1:5" x14ac:dyDescent="0.35">
      <c r="A1" s="2" t="s">
        <v>13</v>
      </c>
      <c r="B1" s="2" t="s">
        <v>14</v>
      </c>
    </row>
    <row r="2" spans="1:5" x14ac:dyDescent="0.35">
      <c r="A2" t="s">
        <v>0</v>
      </c>
      <c r="B2">
        <v>97</v>
      </c>
      <c r="D2" t="s">
        <v>15</v>
      </c>
      <c r="E2">
        <f>SUM(B2:B8)</f>
        <v>421</v>
      </c>
    </row>
    <row r="3" spans="1:5" x14ac:dyDescent="0.35">
      <c r="A3" t="s">
        <v>1</v>
      </c>
      <c r="B3">
        <v>77</v>
      </c>
      <c r="D3" t="s">
        <v>16</v>
      </c>
      <c r="E3">
        <f>MAX(B2:B8)</f>
        <v>97</v>
      </c>
    </row>
    <row r="4" spans="1:5" x14ac:dyDescent="0.35">
      <c r="A4" t="s">
        <v>2</v>
      </c>
      <c r="B4">
        <v>67</v>
      </c>
      <c r="D4" t="s">
        <v>17</v>
      </c>
      <c r="E4">
        <f>MIN(B2:B8)</f>
        <v>36</v>
      </c>
    </row>
    <row r="5" spans="1:5" x14ac:dyDescent="0.35">
      <c r="A5" t="s">
        <v>18</v>
      </c>
      <c r="B5">
        <v>52</v>
      </c>
      <c r="D5" t="s">
        <v>19</v>
      </c>
      <c r="E5">
        <f>LARGE(B2:B8,2)</f>
        <v>77</v>
      </c>
    </row>
    <row r="6" spans="1:5" x14ac:dyDescent="0.35">
      <c r="A6" t="s">
        <v>20</v>
      </c>
      <c r="B6">
        <v>52</v>
      </c>
      <c r="D6" t="s">
        <v>21</v>
      </c>
      <c r="E6">
        <f>SMALL(B2:B8,2)</f>
        <v>40</v>
      </c>
    </row>
    <row r="7" spans="1:5" x14ac:dyDescent="0.35">
      <c r="A7" t="s">
        <v>22</v>
      </c>
      <c r="B7">
        <v>40</v>
      </c>
      <c r="D7" t="s">
        <v>23</v>
      </c>
      <c r="E7">
        <f>COUNT(B2:B8)</f>
        <v>7</v>
      </c>
    </row>
    <row r="8" spans="1:5" x14ac:dyDescent="0.35">
      <c r="A8" t="s">
        <v>24</v>
      </c>
      <c r="B8">
        <v>36</v>
      </c>
      <c r="E8">
        <f>COUNTA(A2:A8)</f>
        <v>7</v>
      </c>
    </row>
    <row r="10" spans="1:5" x14ac:dyDescent="0.35">
      <c r="D10" t="s">
        <v>25</v>
      </c>
      <c r="E10">
        <f>AVERAGE(B2:B8)</f>
        <v>60.142857142857146</v>
      </c>
    </row>
    <row r="11" spans="1:5" x14ac:dyDescent="0.35">
      <c r="D11" t="s">
        <v>26</v>
      </c>
      <c r="E11">
        <f>MEDIAN(B2:B8)</f>
        <v>52</v>
      </c>
    </row>
    <row r="12" spans="1:5" x14ac:dyDescent="0.35">
      <c r="D12" t="s">
        <v>27</v>
      </c>
      <c r="E12">
        <f>MODE(B2:B8)</f>
        <v>52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G22"/>
  <sheetViews>
    <sheetView topLeftCell="A5" zoomScaleNormal="100" workbookViewId="0">
      <selection activeCell="F7" sqref="F7"/>
    </sheetView>
  </sheetViews>
  <sheetFormatPr defaultRowHeight="14.5" x14ac:dyDescent="0.35"/>
  <cols>
    <col min="1" max="1" width="15.7265625" bestFit="1" customWidth="1"/>
    <col min="2" max="2" width="15.7265625" customWidth="1"/>
    <col min="3" max="3" width="12.26953125" bestFit="1" customWidth="1"/>
    <col min="5" max="5" width="12.453125" bestFit="1" customWidth="1"/>
  </cols>
  <sheetData>
    <row r="1" spans="1:7" x14ac:dyDescent="0.35">
      <c r="A1" s="2" t="s">
        <v>13</v>
      </c>
      <c r="B1" s="2" t="s">
        <v>28</v>
      </c>
      <c r="C1" s="2" t="s">
        <v>14</v>
      </c>
    </row>
    <row r="2" spans="1:7" x14ac:dyDescent="0.35">
      <c r="A2" t="s">
        <v>0</v>
      </c>
      <c r="B2" t="s">
        <v>29</v>
      </c>
      <c r="C2">
        <v>28</v>
      </c>
      <c r="E2" t="s">
        <v>30</v>
      </c>
      <c r="F2">
        <f>SUMIF(B:B,B2,C:C)</f>
        <v>362</v>
      </c>
      <c r="G2">
        <f>SUMIF(B:B,"*s",C:C)</f>
        <v>802</v>
      </c>
    </row>
    <row r="3" spans="1:7" x14ac:dyDescent="0.35">
      <c r="A3" t="s">
        <v>1</v>
      </c>
      <c r="B3" t="s">
        <v>29</v>
      </c>
      <c r="C3">
        <v>32</v>
      </c>
      <c r="E3" t="s">
        <v>31</v>
      </c>
      <c r="F3">
        <f>SUM(SUMIFS(C:C,B:B,B2,A:A,A2:A3))</f>
        <v>32</v>
      </c>
    </row>
    <row r="4" spans="1:7" x14ac:dyDescent="0.35">
      <c r="A4" t="s">
        <v>2</v>
      </c>
      <c r="B4" t="s">
        <v>29</v>
      </c>
      <c r="C4">
        <v>52</v>
      </c>
    </row>
    <row r="5" spans="1:7" x14ac:dyDescent="0.35">
      <c r="A5" t="s">
        <v>18</v>
      </c>
      <c r="B5" t="s">
        <v>29</v>
      </c>
      <c r="C5">
        <v>67</v>
      </c>
    </row>
    <row r="6" spans="1:7" x14ac:dyDescent="0.35">
      <c r="A6" t="s">
        <v>20</v>
      </c>
      <c r="B6" t="s">
        <v>29</v>
      </c>
      <c r="C6">
        <v>44</v>
      </c>
    </row>
    <row r="7" spans="1:7" x14ac:dyDescent="0.35">
      <c r="A7" t="s">
        <v>22</v>
      </c>
      <c r="B7" t="s">
        <v>29</v>
      </c>
      <c r="C7">
        <v>39</v>
      </c>
      <c r="E7" t="s">
        <v>32</v>
      </c>
    </row>
    <row r="8" spans="1:7" x14ac:dyDescent="0.35">
      <c r="A8" t="s">
        <v>24</v>
      </c>
      <c r="B8" t="s">
        <v>29</v>
      </c>
      <c r="C8">
        <v>100</v>
      </c>
      <c r="E8" t="s">
        <v>33</v>
      </c>
    </row>
    <row r="9" spans="1:7" x14ac:dyDescent="0.35">
      <c r="A9" t="s">
        <v>0</v>
      </c>
      <c r="B9" t="s">
        <v>34</v>
      </c>
      <c r="C9">
        <v>75</v>
      </c>
      <c r="E9" t="s">
        <v>35</v>
      </c>
    </row>
    <row r="10" spans="1:7" x14ac:dyDescent="0.35">
      <c r="A10" t="s">
        <v>1</v>
      </c>
      <c r="B10" t="s">
        <v>34</v>
      </c>
      <c r="C10">
        <v>32</v>
      </c>
      <c r="E10" t="s">
        <v>36</v>
      </c>
    </row>
    <row r="11" spans="1:7" x14ac:dyDescent="0.35">
      <c r="A11" t="s">
        <v>2</v>
      </c>
      <c r="B11" t="s">
        <v>34</v>
      </c>
      <c r="C11">
        <v>40</v>
      </c>
      <c r="E11" t="s">
        <v>37</v>
      </c>
    </row>
    <row r="12" spans="1:7" x14ac:dyDescent="0.35">
      <c r="A12" t="s">
        <v>18</v>
      </c>
      <c r="B12" t="s">
        <v>34</v>
      </c>
      <c r="C12">
        <v>21</v>
      </c>
      <c r="E12" t="s">
        <v>38</v>
      </c>
    </row>
    <row r="13" spans="1:7" x14ac:dyDescent="0.35">
      <c r="A13" t="s">
        <v>20</v>
      </c>
      <c r="B13" t="s">
        <v>34</v>
      </c>
      <c r="C13">
        <v>58</v>
      </c>
    </row>
    <row r="14" spans="1:7" x14ac:dyDescent="0.35">
      <c r="A14" t="s">
        <v>22</v>
      </c>
      <c r="B14" t="s">
        <v>34</v>
      </c>
      <c r="C14">
        <v>21</v>
      </c>
    </row>
    <row r="15" spans="1:7" x14ac:dyDescent="0.35">
      <c r="A15" t="s">
        <v>24</v>
      </c>
      <c r="B15" t="s">
        <v>34</v>
      </c>
      <c r="C15">
        <v>54</v>
      </c>
    </row>
    <row r="16" spans="1:7" x14ac:dyDescent="0.35">
      <c r="A16" t="s">
        <v>0</v>
      </c>
      <c r="B16" t="s">
        <v>39</v>
      </c>
      <c r="C16">
        <v>55</v>
      </c>
    </row>
    <row r="17" spans="1:3" x14ac:dyDescent="0.35">
      <c r="A17" t="s">
        <v>1</v>
      </c>
      <c r="B17" t="s">
        <v>39</v>
      </c>
      <c r="C17">
        <v>41</v>
      </c>
    </row>
    <row r="18" spans="1:3" x14ac:dyDescent="0.35">
      <c r="A18" t="s">
        <v>2</v>
      </c>
      <c r="B18" t="s">
        <v>39</v>
      </c>
      <c r="C18">
        <v>92</v>
      </c>
    </row>
    <row r="19" spans="1:3" x14ac:dyDescent="0.35">
      <c r="A19" t="s">
        <v>18</v>
      </c>
      <c r="B19" t="s">
        <v>39</v>
      </c>
      <c r="C19">
        <v>89</v>
      </c>
    </row>
    <row r="20" spans="1:3" x14ac:dyDescent="0.35">
      <c r="A20" t="s">
        <v>20</v>
      </c>
      <c r="B20" t="s">
        <v>39</v>
      </c>
      <c r="C20">
        <v>34</v>
      </c>
    </row>
    <row r="21" spans="1:3" x14ac:dyDescent="0.35">
      <c r="A21" t="s">
        <v>22</v>
      </c>
      <c r="B21" t="s">
        <v>39</v>
      </c>
      <c r="C21">
        <v>29</v>
      </c>
    </row>
    <row r="22" spans="1:3" x14ac:dyDescent="0.35">
      <c r="A22" t="s">
        <v>24</v>
      </c>
      <c r="B22" t="s">
        <v>39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2"/>
  <sheetViews>
    <sheetView topLeftCell="A27" zoomScale="104" zoomScaleNormal="104" workbookViewId="0">
      <selection activeCell="A33" sqref="A33"/>
    </sheetView>
  </sheetViews>
  <sheetFormatPr defaultRowHeight="14.5" x14ac:dyDescent="0.35"/>
  <cols>
    <col min="1" max="1" width="23.1796875" customWidth="1"/>
    <col min="2" max="2" width="19.90625" bestFit="1" customWidth="1"/>
  </cols>
  <sheetData>
    <row r="1" spans="1:3" x14ac:dyDescent="0.35">
      <c r="A1" s="2" t="s">
        <v>40</v>
      </c>
    </row>
    <row r="2" spans="1:3" x14ac:dyDescent="0.35">
      <c r="A2" t="s">
        <v>41</v>
      </c>
      <c r="B2" t="str">
        <f>PROPER(A2)</f>
        <v>Kevin Cookie Company</v>
      </c>
    </row>
    <row r="5" spans="1:3" x14ac:dyDescent="0.35">
      <c r="A5" s="2" t="s">
        <v>42</v>
      </c>
    </row>
    <row r="6" spans="1:3" x14ac:dyDescent="0.35">
      <c r="A6" t="s">
        <v>43</v>
      </c>
      <c r="B6" t="str">
        <f>TRIM(A6)</f>
        <v>Kevin Cookie Company</v>
      </c>
    </row>
    <row r="9" spans="1:3" x14ac:dyDescent="0.35">
      <c r="A9" s="2" t="s">
        <v>44</v>
      </c>
    </row>
    <row r="10" spans="1:3" x14ac:dyDescent="0.35">
      <c r="A10" t="s">
        <v>45</v>
      </c>
      <c r="B10" t="s">
        <v>46</v>
      </c>
      <c r="C10" t="s">
        <v>47</v>
      </c>
    </row>
    <row r="11" spans="1:3" x14ac:dyDescent="0.35">
      <c r="A11" t="str">
        <f>CONCATENATE(A10,B10,C10)</f>
        <v>KevinCookieCompany</v>
      </c>
    </row>
    <row r="13" spans="1:3" x14ac:dyDescent="0.35">
      <c r="A13" s="2" t="s">
        <v>48</v>
      </c>
    </row>
    <row r="14" spans="1:3" x14ac:dyDescent="0.35">
      <c r="A14" t="s">
        <v>45</v>
      </c>
      <c r="B14" t="s">
        <v>46</v>
      </c>
      <c r="C14" t="s">
        <v>47</v>
      </c>
    </row>
    <row r="15" spans="1:3" x14ac:dyDescent="0.35">
      <c r="A15" t="str">
        <f>CONCATENATE(A14," ",B14," ",C14)</f>
        <v>Kevin Cookie Company</v>
      </c>
    </row>
    <row r="17" spans="1:3" x14ac:dyDescent="0.35">
      <c r="A17" s="2" t="s">
        <v>49</v>
      </c>
    </row>
    <row r="18" spans="1:3" x14ac:dyDescent="0.35">
      <c r="A18" t="s">
        <v>45</v>
      </c>
      <c r="B18" t="s">
        <v>46</v>
      </c>
      <c r="C18" t="s">
        <v>47</v>
      </c>
    </row>
    <row r="21" spans="1:3" x14ac:dyDescent="0.35">
      <c r="A21" s="2" t="s">
        <v>50</v>
      </c>
    </row>
    <row r="22" spans="1:3" x14ac:dyDescent="0.35">
      <c r="A22" t="s">
        <v>51</v>
      </c>
      <c r="B22" t="str">
        <f>RIGHT(A22,5)</f>
        <v>05486</v>
      </c>
    </row>
    <row r="24" spans="1:3" x14ac:dyDescent="0.35">
      <c r="A24" s="2" t="s">
        <v>52</v>
      </c>
    </row>
    <row r="25" spans="1:3" x14ac:dyDescent="0.35">
      <c r="A25" t="s">
        <v>53</v>
      </c>
      <c r="B25">
        <f>LEN(A25)</f>
        <v>20</v>
      </c>
    </row>
    <row r="27" spans="1:3" x14ac:dyDescent="0.35">
      <c r="A27" s="2" t="s">
        <v>54</v>
      </c>
    </row>
    <row r="28" spans="1:3" x14ac:dyDescent="0.35">
      <c r="A28" s="5" t="s">
        <v>55</v>
      </c>
    </row>
    <row r="29" spans="1:3" x14ac:dyDescent="0.35">
      <c r="B29">
        <f>FIND("@",A28)</f>
        <v>4</v>
      </c>
    </row>
    <row r="31" spans="1:3" x14ac:dyDescent="0.35">
      <c r="A31" s="2" t="s">
        <v>56</v>
      </c>
    </row>
    <row r="32" spans="1:3" x14ac:dyDescent="0.35">
      <c r="A32" t="str">
        <f>LEFT(A28,FIND("@",A28)-1)</f>
        <v>sue</v>
      </c>
    </row>
  </sheetData>
  <hyperlinks>
    <hyperlink ref="A28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H24"/>
  <sheetViews>
    <sheetView topLeftCell="B1" zoomScale="96" zoomScaleNormal="96" workbookViewId="0">
      <selection activeCell="I20" sqref="I20"/>
    </sheetView>
  </sheetViews>
  <sheetFormatPr defaultRowHeight="14.5" x14ac:dyDescent="0.35"/>
  <cols>
    <col min="1" max="1" width="21.7265625" bestFit="1" customWidth="1"/>
    <col min="2" max="2" width="16.453125" customWidth="1"/>
    <col min="8" max="8" width="13.36328125" bestFit="1" customWidth="1"/>
  </cols>
  <sheetData>
    <row r="1" spans="1:8" x14ac:dyDescent="0.35">
      <c r="A1" s="2" t="s">
        <v>57</v>
      </c>
    </row>
    <row r="2" spans="1:8" x14ac:dyDescent="0.35">
      <c r="A2" t="s">
        <v>53</v>
      </c>
      <c r="B2" t="s">
        <v>58</v>
      </c>
      <c r="C2" t="b">
        <f>A2=B2</f>
        <v>0</v>
      </c>
    </row>
    <row r="3" spans="1:8" x14ac:dyDescent="0.35">
      <c r="A3">
        <v>10</v>
      </c>
      <c r="B3">
        <v>5</v>
      </c>
      <c r="C3" t="b">
        <f>A3=B3</f>
        <v>0</v>
      </c>
    </row>
    <row r="4" spans="1:8" x14ac:dyDescent="0.35">
      <c r="B4">
        <v>11</v>
      </c>
      <c r="C4" t="b">
        <f>A3&gt;B3</f>
        <v>1</v>
      </c>
    </row>
    <row r="5" spans="1:8" x14ac:dyDescent="0.35">
      <c r="C5" t="b">
        <f>OR(A3&gt;B3,A3&gt;B4)</f>
        <v>1</v>
      </c>
    </row>
    <row r="8" spans="1:8" x14ac:dyDescent="0.35">
      <c r="A8" s="2"/>
    </row>
    <row r="9" spans="1:8" x14ac:dyDescent="0.35">
      <c r="A9" s="2" t="s">
        <v>13</v>
      </c>
      <c r="B9" s="2" t="s">
        <v>14</v>
      </c>
      <c r="C9" s="2" t="s">
        <v>59</v>
      </c>
    </row>
    <row r="10" spans="1:8" x14ac:dyDescent="0.35">
      <c r="A10" t="s">
        <v>0</v>
      </c>
      <c r="B10">
        <v>97</v>
      </c>
      <c r="C10" t="s">
        <v>60</v>
      </c>
      <c r="H10" t="str">
        <f>IF(B10&gt;B11,"Chocolate Chip","Oatmeal Raisin")</f>
        <v>Oatmeal Raisin</v>
      </c>
    </row>
    <row r="11" spans="1:8" x14ac:dyDescent="0.35">
      <c r="A11" t="s">
        <v>1</v>
      </c>
      <c r="B11">
        <v>150</v>
      </c>
    </row>
    <row r="12" spans="1:8" x14ac:dyDescent="0.35">
      <c r="A12" t="s">
        <v>2</v>
      </c>
      <c r="B12">
        <v>150</v>
      </c>
    </row>
    <row r="13" spans="1:8" x14ac:dyDescent="0.35">
      <c r="C13" s="2" t="s">
        <v>61</v>
      </c>
    </row>
    <row r="14" spans="1:8" x14ac:dyDescent="0.35">
      <c r="C14" t="s">
        <v>62</v>
      </c>
      <c r="H14" t="str">
        <f>IF(AND(B10&gt;B11,B10&gt;B12),"yes","no")</f>
        <v>no</v>
      </c>
    </row>
    <row r="17" spans="1:8" x14ac:dyDescent="0.35">
      <c r="C17" s="2" t="s">
        <v>63</v>
      </c>
    </row>
    <row r="18" spans="1:8" x14ac:dyDescent="0.35">
      <c r="C18" t="s">
        <v>64</v>
      </c>
    </row>
    <row r="19" spans="1:8" x14ac:dyDescent="0.35">
      <c r="H19" t="str">
        <f>IF(OR(B10&gt;B11,B10&gt;B12),"yes","no")</f>
        <v>no</v>
      </c>
    </row>
    <row r="21" spans="1:8" x14ac:dyDescent="0.35">
      <c r="A21" s="2" t="s">
        <v>65</v>
      </c>
      <c r="B21" s="2" t="s">
        <v>66</v>
      </c>
      <c r="C21" s="2" t="s">
        <v>67</v>
      </c>
    </row>
    <row r="22" spans="1:8" x14ac:dyDescent="0.35">
      <c r="A22" t="s">
        <v>0</v>
      </c>
      <c r="B22">
        <v>10</v>
      </c>
      <c r="C22" t="s">
        <v>68</v>
      </c>
      <c r="E22" s="2" t="s">
        <v>2</v>
      </c>
    </row>
    <row r="23" spans="1:8" x14ac:dyDescent="0.35">
      <c r="A23" t="s">
        <v>1</v>
      </c>
      <c r="B23">
        <v>8</v>
      </c>
      <c r="G23">
        <f>IF(E22=A22,B22,IF(E22=A23,B23,IF(E22=A24,B24,"unknown")))</f>
        <v>5</v>
      </c>
      <c r="H23" t="str">
        <f ca="1">_xlfn.FORMULATEXT(G23)</f>
        <v>=IF(E22=A22,B22,IF(E22=A23,B23,IF(E22=A24,B24,"unknown")))</v>
      </c>
    </row>
    <row r="24" spans="1:8" x14ac:dyDescent="0.35">
      <c r="A24" t="s">
        <v>2</v>
      </c>
      <c r="B24">
        <v>5</v>
      </c>
      <c r="G24" t="e">
        <f ca="1">ifs(E22=A22,B22,E22=A23,B23,E22=A24,B24)</f>
        <v>#NAME?</v>
      </c>
      <c r="H24" t="str">
        <f ca="1">_xlfn.FORMULATEXT(G24)</f>
        <v>=ifs(E22=A22,B22,E22=A23,B23,E22=A24,B24)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I12"/>
  <sheetViews>
    <sheetView tabSelected="1" zoomScale="104" zoomScaleNormal="104" workbookViewId="0">
      <selection activeCell="G17" sqref="G17"/>
    </sheetView>
  </sheetViews>
  <sheetFormatPr defaultRowHeight="14.5" x14ac:dyDescent="0.35"/>
  <cols>
    <col min="1" max="1" width="14.453125" bestFit="1" customWidth="1"/>
    <col min="3" max="3" width="11.54296875" customWidth="1"/>
    <col min="4" max="4" width="3.54296875" customWidth="1"/>
    <col min="5" max="5" width="19" bestFit="1" customWidth="1"/>
  </cols>
  <sheetData>
    <row r="1" spans="1:9" x14ac:dyDescent="0.35">
      <c r="A1" s="2" t="s">
        <v>65</v>
      </c>
      <c r="B1" s="2" t="s">
        <v>66</v>
      </c>
      <c r="C1" s="2" t="s">
        <v>6</v>
      </c>
      <c r="D1" s="2"/>
      <c r="E1" s="2" t="s">
        <v>69</v>
      </c>
    </row>
    <row r="2" spans="1:9" x14ac:dyDescent="0.35">
      <c r="A2" t="s">
        <v>0</v>
      </c>
      <c r="B2">
        <v>10</v>
      </c>
      <c r="C2">
        <v>4</v>
      </c>
      <c r="E2" t="s">
        <v>68</v>
      </c>
      <c r="F2" t="s">
        <v>2</v>
      </c>
      <c r="H2">
        <f>VLOOKUP(F2,A1:C4,2,FALSE)</f>
        <v>5</v>
      </c>
    </row>
    <row r="3" spans="1:9" x14ac:dyDescent="0.35">
      <c r="A3" t="s">
        <v>1</v>
      </c>
      <c r="B3">
        <v>8</v>
      </c>
      <c r="C3">
        <v>3</v>
      </c>
    </row>
    <row r="4" spans="1:9" x14ac:dyDescent="0.35">
      <c r="A4" t="s">
        <v>2</v>
      </c>
      <c r="B4">
        <v>5</v>
      </c>
      <c r="C4">
        <v>2</v>
      </c>
    </row>
    <row r="5" spans="1:9" x14ac:dyDescent="0.35">
      <c r="E5" s="2" t="s">
        <v>70</v>
      </c>
    </row>
    <row r="6" spans="1:9" x14ac:dyDescent="0.35">
      <c r="E6" t="s">
        <v>68</v>
      </c>
      <c r="F6" t="s">
        <v>0</v>
      </c>
      <c r="H6" t="e">
        <f ca="1">xlookup(F6,A:A,B:B)</f>
        <v>#NAME?</v>
      </c>
    </row>
    <row r="9" spans="1:9" x14ac:dyDescent="0.35">
      <c r="H9">
        <f>HLOOKUP("price",A1:C4,3,TRUE)</f>
        <v>8</v>
      </c>
      <c r="I9" t="str">
        <f ca="1">_xlfn.FORMULATEXT(H9)</f>
        <v>=HLOOKUP("price",A1:C4,3,TRUE)</v>
      </c>
    </row>
    <row r="12" spans="1:9" x14ac:dyDescent="0.35">
      <c r="H12">
        <f>INDEX(A1:C4,2,3)</f>
        <v>4</v>
      </c>
      <c r="I12" t="str">
        <f t="shared" ref="I10:I15" ca="1" si="0">_xlfn.FORMULATEXT(H12)</f>
        <v>=INDEX(A1:C4,2,3)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="96" zoomScaleNormal="96" workbookViewId="0">
      <selection activeCell="A6" sqref="A6"/>
    </sheetView>
  </sheetViews>
  <sheetFormatPr defaultRowHeight="14.5" x14ac:dyDescent="0.35"/>
  <cols>
    <col min="1" max="1" width="15.453125" bestFit="1" customWidth="1"/>
  </cols>
  <sheetData>
    <row r="1" spans="1:1" x14ac:dyDescent="0.35">
      <c r="A1" s="2" t="s">
        <v>71</v>
      </c>
    </row>
    <row r="2" spans="1:1" x14ac:dyDescent="0.35">
      <c r="A2" s="6">
        <f ca="1">TODAY()</f>
        <v>46087</v>
      </c>
    </row>
    <row r="4" spans="1:1" x14ac:dyDescent="0.35">
      <c r="A4" s="2" t="s">
        <v>72</v>
      </c>
    </row>
    <row r="5" spans="1:1" x14ac:dyDescent="0.35">
      <c r="A5" s="7">
        <f ca="1">NOW()</f>
        <v>46087.423608449077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showFormulas="1" zoomScale="95" zoomScaleNormal="95" workbookViewId="0">
      <selection activeCell="B4" sqref="B4"/>
    </sheetView>
  </sheetViews>
  <sheetFormatPr defaultRowHeight="14.5" x14ac:dyDescent="0.35"/>
  <sheetData>
    <row r="1" spans="1:2" x14ac:dyDescent="0.35">
      <c r="A1" s="8">
        <f>5+4</f>
        <v>9</v>
      </c>
      <c r="B1">
        <v>1</v>
      </c>
    </row>
    <row r="2" spans="1:2" x14ac:dyDescent="0.35">
      <c r="A2" s="8">
        <f>8-2</f>
        <v>6</v>
      </c>
      <c r="B2">
        <v>3</v>
      </c>
    </row>
    <row r="3" spans="1:2" x14ac:dyDescent="0.35">
      <c r="A3" s="8">
        <f>A2+B2</f>
        <v>9</v>
      </c>
      <c r="B3" s="8">
        <f>4+2</f>
        <v>6</v>
      </c>
    </row>
    <row r="4" spans="1:2" x14ac:dyDescent="0.35">
      <c r="A4">
        <v>3</v>
      </c>
      <c r="B4" s="8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  <vt:lpstr>TaxRate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hp</cp:lastModifiedBy>
  <cp:revision/>
  <dcterms:created xsi:type="dcterms:W3CDTF">2022-05-10T22:30:35Z</dcterms:created>
  <dcterms:modified xsi:type="dcterms:W3CDTF">2026-03-06T09:10:01Z</dcterms:modified>
  <cp:category/>
  <cp:contentStatus/>
</cp:coreProperties>
</file>