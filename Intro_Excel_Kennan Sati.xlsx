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4ACE\"/>
    </mc:Choice>
  </mc:AlternateContent>
  <xr:revisionPtr revIDLastSave="0" documentId="13_ncr:1_{4B4303EB-1F96-4F80-BC98-5DE4453A804F}" xr6:coauthVersionLast="47" xr6:coauthVersionMax="47" xr10:uidLastSave="{00000000-0000-0000-0000-000000000000}"/>
  <bookViews>
    <workbookView xWindow="-110" yWindow="-110" windowWidth="19420" windowHeight="10300" xr2:uid="{AA6E2699-8540-4980-9ADD-C5BCE68F5400}"/>
  </bookViews>
  <sheets>
    <sheet name="Sheet2" sheetId="2" r:id="rId1"/>
  </sheets>
  <externalReferences>
    <externalReference r:id="rId2"/>
  </externalReferences>
  <definedNames>
    <definedName name="TaxesOwed">[1]Sheet1!$F$2:$F$71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" i="2" l="1"/>
  <c r="E74" i="2"/>
  <c r="E2" i="2"/>
  <c r="F2" i="2" s="1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 s="1"/>
  <c r="E73" i="2"/>
  <c r="F73" i="2" s="1"/>
</calcChain>
</file>

<file path=xl/sharedStrings.xml><?xml version="1.0" encoding="utf-8"?>
<sst xmlns="http://schemas.openxmlformats.org/spreadsheetml/2006/main" count="80" uniqueCount="79">
  <si>
    <t>SUMS</t>
  </si>
  <si>
    <t>Cortney</t>
  </si>
  <si>
    <t>Riya</t>
  </si>
  <si>
    <t>Alek</t>
  </si>
  <si>
    <t>Ellie</t>
  </si>
  <si>
    <t>Derek</t>
  </si>
  <si>
    <t>Tanner</t>
  </si>
  <si>
    <t>Jayce</t>
  </si>
  <si>
    <t>Alvaro</t>
  </si>
  <si>
    <t>Danae</t>
  </si>
  <si>
    <t>Dean Ling</t>
  </si>
  <si>
    <t>Tianna</t>
  </si>
  <si>
    <t>Jayden</t>
  </si>
  <si>
    <t>Dante</t>
  </si>
  <si>
    <t>Jude</t>
  </si>
  <si>
    <t>Raekwon</t>
  </si>
  <si>
    <t>Rosalinda</t>
  </si>
  <si>
    <t>Tanya</t>
  </si>
  <si>
    <t>Caden</t>
  </si>
  <si>
    <t>Jacinda</t>
  </si>
  <si>
    <t>Allan</t>
  </si>
  <si>
    <t>Kavon</t>
  </si>
  <si>
    <t>Keaton</t>
  </si>
  <si>
    <t>Judah</t>
  </si>
  <si>
    <t>Phillip</t>
  </si>
  <si>
    <t>Efrain</t>
  </si>
  <si>
    <t>Emma</t>
  </si>
  <si>
    <t>Leandra</t>
  </si>
  <si>
    <t>Ester</t>
  </si>
  <si>
    <t>Samuel</t>
  </si>
  <si>
    <t>Zayne</t>
  </si>
  <si>
    <t>Glen</t>
  </si>
  <si>
    <t>Macie</t>
  </si>
  <si>
    <t>Jordyn</t>
  </si>
  <si>
    <t>Pranav</t>
  </si>
  <si>
    <t>Aubrie</t>
  </si>
  <si>
    <t>Audra</t>
  </si>
  <si>
    <t>Lindsay</t>
  </si>
  <si>
    <t>Joshua</t>
  </si>
  <si>
    <t>Rogelio</t>
  </si>
  <si>
    <t>Lilly</t>
  </si>
  <si>
    <t>Jaime</t>
  </si>
  <si>
    <t>Ingrid</t>
  </si>
  <si>
    <t>Dymond</t>
  </si>
  <si>
    <t>Keisha</t>
  </si>
  <si>
    <t>Dangelo</t>
  </si>
  <si>
    <t>Anne</t>
  </si>
  <si>
    <t>Kerry</t>
  </si>
  <si>
    <t>Louis</t>
  </si>
  <si>
    <t>Kolton</t>
  </si>
  <si>
    <t>Andrea</t>
  </si>
  <si>
    <t>Kenan</t>
  </si>
  <si>
    <t>Graciela</t>
  </si>
  <si>
    <t>Jerod</t>
  </si>
  <si>
    <t>Mari</t>
  </si>
  <si>
    <t>Nestor</t>
  </si>
  <si>
    <t>Keegan</t>
  </si>
  <si>
    <t>Adrienne</t>
  </si>
  <si>
    <t>Marisela</t>
  </si>
  <si>
    <t>Ariana</t>
  </si>
  <si>
    <t>Tre</t>
  </si>
  <si>
    <t>Tanisha</t>
  </si>
  <si>
    <t>Janay</t>
  </si>
  <si>
    <t>Clifford</t>
  </si>
  <si>
    <t>Jefferson</t>
  </si>
  <si>
    <t>Jeff</t>
  </si>
  <si>
    <t>Freddy</t>
  </si>
  <si>
    <t>Amelia</t>
  </si>
  <si>
    <t>James</t>
  </si>
  <si>
    <t>Julia</t>
  </si>
  <si>
    <t>Tax Rate:</t>
  </si>
  <si>
    <t>Taxes to be Paid</t>
  </si>
  <si>
    <t>Taxable Income</t>
  </si>
  <si>
    <t>Hours Worked</t>
  </si>
  <si>
    <t>Hourly Wage</t>
  </si>
  <si>
    <t>Name</t>
  </si>
  <si>
    <t>Employee ID</t>
  </si>
  <si>
    <t>COUNT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</si>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</sst>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44" fontId="2" fillId="0" borderId="0" xfId="1" applyNumberFormat="1" applyFont="1"/>
    <xf numFmtId="164" fontId="2" fillId="0" borderId="0" xfId="1" applyNumberFormat="1" applyFont="1"/>
    <xf numFmtId="49" fontId="2" fillId="0" borderId="0" xfId="1" applyNumberFormat="1" applyFont="1"/>
    <xf numFmtId="0" fontId="3" fillId="0" borderId="0" xfId="1" applyFont="1"/>
    <xf numFmtId="44" fontId="3" fillId="0" borderId="0" xfId="1" applyNumberFormat="1" applyFont="1"/>
    <xf numFmtId="164" fontId="3" fillId="0" borderId="0" xfId="1" applyNumberFormat="1" applyFont="1"/>
    <xf numFmtId="49" fontId="3" fillId="0" borderId="0" xfId="1" applyNumberFormat="1" applyFont="1"/>
  </cellXfs>
  <cellStyles count="2">
    <cellStyle name="Normal" xfId="0" builtinId="0"/>
    <cellStyle name="Normal 2" xfId="1" xr:uid="{D367B3FE-971D-414D-9303-C77F69D1805E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Roaming\Microsoft\Excel\Intro_Excel_KennanSati%20(version%201).xlsb" TargetMode="External"/><Relationship Id="rId1" Type="http://schemas.openxmlformats.org/officeDocument/2006/relationships/externalLinkPath" Target="/Users/hp/AppData/Roaming/Microsoft/Excel/Intro_Excel_KennanSati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</sheetNames>
    <sheetDataSet>
      <sheetData sheetId="0">
        <row r="2">
          <cell r="F2">
            <v>157.60500000000002</v>
          </cell>
        </row>
        <row r="3">
          <cell r="F3">
            <v>173.60000000000002</v>
          </cell>
        </row>
        <row r="4">
          <cell r="F4">
            <v>140</v>
          </cell>
        </row>
        <row r="5">
          <cell r="F5">
            <v>158.81250000000003</v>
          </cell>
        </row>
        <row r="6">
          <cell r="F6">
            <v>156.24</v>
          </cell>
        </row>
        <row r="7">
          <cell r="F7">
            <v>207.06000000000003</v>
          </cell>
        </row>
        <row r="8">
          <cell r="F8">
            <v>154.96250000000001</v>
          </cell>
        </row>
        <row r="9">
          <cell r="F9">
            <v>74.865000000000009</v>
          </cell>
        </row>
        <row r="10">
          <cell r="F10">
            <v>63.962500000000006</v>
          </cell>
        </row>
        <row r="11">
          <cell r="F11">
            <v>126.94500000000001</v>
          </cell>
        </row>
        <row r="12">
          <cell r="F12">
            <v>134.4</v>
          </cell>
        </row>
        <row r="13">
          <cell r="F13">
            <v>164.92000000000002</v>
          </cell>
        </row>
        <row r="14">
          <cell r="F14">
            <v>106.10250000000001</v>
          </cell>
        </row>
        <row r="15">
          <cell r="F15">
            <v>62.160000000000004</v>
          </cell>
        </row>
        <row r="16">
          <cell r="F16">
            <v>147.63000000000002</v>
          </cell>
        </row>
        <row r="17">
          <cell r="F17">
            <v>157.08000000000001</v>
          </cell>
        </row>
        <row r="18">
          <cell r="F18">
            <v>223.44000000000003</v>
          </cell>
        </row>
        <row r="19">
          <cell r="F19">
            <v>209.44000000000003</v>
          </cell>
        </row>
        <row r="20">
          <cell r="F20">
            <v>88.2</v>
          </cell>
        </row>
        <row r="21">
          <cell r="F21">
            <v>159.39000000000001</v>
          </cell>
        </row>
        <row r="22">
          <cell r="F22">
            <v>65.52000000000001</v>
          </cell>
        </row>
        <row r="23">
          <cell r="F23">
            <v>109.20000000000002</v>
          </cell>
        </row>
        <row r="24">
          <cell r="F24">
            <v>262.08000000000004</v>
          </cell>
        </row>
        <row r="25">
          <cell r="F25">
            <v>149.38000000000002</v>
          </cell>
        </row>
        <row r="26">
          <cell r="F26">
            <v>445.76000000000005</v>
          </cell>
        </row>
        <row r="27">
          <cell r="F27">
            <v>123.20000000000002</v>
          </cell>
        </row>
        <row r="28">
          <cell r="F28">
            <v>152.88000000000002</v>
          </cell>
        </row>
        <row r="29">
          <cell r="F29">
            <v>126.94500000000001</v>
          </cell>
        </row>
        <row r="30">
          <cell r="F30">
            <v>79.800000000000011</v>
          </cell>
        </row>
        <row r="31">
          <cell r="F31">
            <v>147</v>
          </cell>
        </row>
        <row r="32">
          <cell r="F32">
            <v>94.39500000000001</v>
          </cell>
        </row>
        <row r="33">
          <cell r="F33">
            <v>106.92500000000001</v>
          </cell>
        </row>
        <row r="34">
          <cell r="F34">
            <v>155.4</v>
          </cell>
        </row>
        <row r="35">
          <cell r="F35">
            <v>202.16000000000003</v>
          </cell>
        </row>
        <row r="36">
          <cell r="F36">
            <v>221.34000000000003</v>
          </cell>
        </row>
        <row r="37">
          <cell r="F37">
            <v>127.68</v>
          </cell>
        </row>
        <row r="38">
          <cell r="F38">
            <v>112.00000000000001</v>
          </cell>
        </row>
        <row r="39">
          <cell r="F39">
            <v>156.24</v>
          </cell>
        </row>
        <row r="40">
          <cell r="F40">
            <v>77.035000000000011</v>
          </cell>
        </row>
        <row r="41">
          <cell r="F41">
            <v>81.34</v>
          </cell>
        </row>
        <row r="42">
          <cell r="F42">
            <v>141.12</v>
          </cell>
        </row>
        <row r="43">
          <cell r="F43">
            <v>127.05000000000001</v>
          </cell>
        </row>
        <row r="44">
          <cell r="F44">
            <v>121.80000000000001</v>
          </cell>
        </row>
        <row r="45">
          <cell r="F45">
            <v>144.30500000000001</v>
          </cell>
        </row>
        <row r="46">
          <cell r="F46">
            <v>75.67</v>
          </cell>
        </row>
        <row r="47">
          <cell r="F47">
            <v>62.160000000000004</v>
          </cell>
        </row>
        <row r="48">
          <cell r="F48">
            <v>267.33000000000004</v>
          </cell>
        </row>
        <row r="49">
          <cell r="F49">
            <v>133.28</v>
          </cell>
        </row>
        <row r="50">
          <cell r="F50">
            <v>220.78000000000003</v>
          </cell>
        </row>
        <row r="51">
          <cell r="F51">
            <v>179.20000000000002</v>
          </cell>
        </row>
        <row r="52">
          <cell r="F52">
            <v>147.42000000000002</v>
          </cell>
        </row>
        <row r="53">
          <cell r="F53">
            <v>122.36000000000001</v>
          </cell>
        </row>
        <row r="54">
          <cell r="F54">
            <v>139.965</v>
          </cell>
        </row>
        <row r="55">
          <cell r="F55">
            <v>80.290000000000006</v>
          </cell>
        </row>
        <row r="56">
          <cell r="F56">
            <v>93.240000000000009</v>
          </cell>
        </row>
        <row r="57">
          <cell r="F57">
            <v>143.22000000000003</v>
          </cell>
        </row>
        <row r="58">
          <cell r="F58">
            <v>138.18</v>
          </cell>
        </row>
        <row r="59">
          <cell r="F59">
            <v>157.08000000000001</v>
          </cell>
        </row>
        <row r="60">
          <cell r="F60">
            <v>93.100000000000009</v>
          </cell>
        </row>
        <row r="61">
          <cell r="F61">
            <v>164.22000000000003</v>
          </cell>
        </row>
        <row r="62">
          <cell r="F62">
            <v>95.76</v>
          </cell>
        </row>
        <row r="63">
          <cell r="F63">
            <v>145.60000000000002</v>
          </cell>
        </row>
        <row r="64">
          <cell r="F64">
            <v>262.08000000000004</v>
          </cell>
        </row>
        <row r="65">
          <cell r="F65">
            <v>74.690000000000012</v>
          </cell>
        </row>
        <row r="66">
          <cell r="F66">
            <v>215.91500000000002</v>
          </cell>
        </row>
        <row r="67">
          <cell r="F67">
            <v>123.20000000000002</v>
          </cell>
        </row>
        <row r="68">
          <cell r="F68">
            <v>131.04000000000002</v>
          </cell>
        </row>
        <row r="69">
          <cell r="F69">
            <v>126.94500000000001</v>
          </cell>
        </row>
        <row r="70">
          <cell r="F70">
            <v>58.52</v>
          </cell>
        </row>
        <row r="71">
          <cell r="F71">
            <v>147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5A1A0-9AC8-4F99-BE79-AD6D52C59C1A}" name="Table1" displayName="Table1" ref="A1:F72" totalsRowShown="0" dataDxfId="6">
  <autoFilter ref="A1:F72" xr:uid="{E85FE547-7067-4AEA-88B9-4808CA932367}"/>
  <tableColumns count="6">
    <tableColumn id="1" xr3:uid="{1A9B6983-3F63-4F49-BB35-F733A130B116}" name="Employee ID" dataDxfId="5"/>
    <tableColumn id="2" xr3:uid="{3C433F7D-939B-4D73-95CF-5668DA18675A}" name="Name" dataDxfId="4"/>
    <tableColumn id="3" xr3:uid="{480970A7-63BF-495B-BA4C-A94BDC2A60E3}" name="Hourly Wage" dataDxfId="3"/>
    <tableColumn id="4" xr3:uid="{CA38A523-38BB-40C1-A59D-22FCFDDECEDA}" name="Hours Worked" dataDxfId="2"/>
    <tableColumn id="5" xr3:uid="{C5A545CE-E59E-4DC2-B5A9-30038395F378}" name="Taxable Income" dataDxfId="1"/>
    <tableColumn id="6" xr3:uid="{04E66BD0-0EFC-4341-A3A6-A2848A0AED3D}" name="Taxes to be Paid" dataDxfId="0">
      <calculatedColumnFormula>E2*0.07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653D-907C-4121-BFE0-C3D387FA4909}">
  <dimension ref="A1:I1000"/>
  <sheetViews>
    <sheetView tabSelected="1" topLeftCell="A65" workbookViewId="0">
      <selection activeCell="E81" sqref="E81"/>
    </sheetView>
  </sheetViews>
  <sheetFormatPr defaultColWidth="14.453125" defaultRowHeight="15" customHeight="1" x14ac:dyDescent="0.35"/>
  <cols>
    <col min="1" max="1" width="13.26953125" style="1" customWidth="1"/>
    <col min="2" max="2" width="8.7265625" style="1" customWidth="1"/>
    <col min="3" max="3" width="13.54296875" style="1" customWidth="1"/>
    <col min="4" max="4" width="15" style="1" customWidth="1"/>
    <col min="5" max="5" width="17.1796875" style="1" customWidth="1"/>
    <col min="6" max="6" width="17.7265625" style="1" customWidth="1"/>
    <col min="7" max="26" width="8.7265625" style="1" customWidth="1"/>
    <col min="27" max="16384" width="14.453125" style="1"/>
  </cols>
  <sheetData>
    <row r="1" spans="1:9" ht="14.25" customHeight="1" x14ac:dyDescent="0.35">
      <c r="A1" s="5" t="s">
        <v>76</v>
      </c>
      <c r="B1" s="8" t="s">
        <v>75</v>
      </c>
      <c r="C1" s="7" t="s">
        <v>74</v>
      </c>
      <c r="D1" s="5" t="s">
        <v>73</v>
      </c>
      <c r="E1" s="6" t="s">
        <v>72</v>
      </c>
      <c r="F1" s="6" t="s">
        <v>71</v>
      </c>
      <c r="H1" s="5" t="s">
        <v>70</v>
      </c>
      <c r="I1" s="5">
        <v>7.0000000000000007E-2</v>
      </c>
    </row>
    <row r="2" spans="1:9" ht="14.25" customHeight="1" x14ac:dyDescent="0.35">
      <c r="A2" s="1">
        <v>1</v>
      </c>
      <c r="B2" s="4" t="s">
        <v>69</v>
      </c>
      <c r="C2" s="3">
        <v>14.25</v>
      </c>
      <c r="D2" s="1">
        <v>158</v>
      </c>
      <c r="E2" s="2">
        <f>C2*D2</f>
        <v>2251.5</v>
      </c>
      <c r="F2" s="2">
        <f>E2*0.07</f>
        <v>157.60500000000002</v>
      </c>
    </row>
    <row r="3" spans="1:9" ht="14.25" customHeight="1" x14ac:dyDescent="0.35">
      <c r="A3" s="1">
        <v>2</v>
      </c>
      <c r="B3" s="4" t="s">
        <v>68</v>
      </c>
      <c r="C3" s="3">
        <v>15.5</v>
      </c>
      <c r="D3" s="1">
        <v>160</v>
      </c>
      <c r="E3" s="2">
        <f>C3*D3</f>
        <v>2480</v>
      </c>
      <c r="F3" s="2">
        <f>E3*0.07</f>
        <v>173.60000000000002</v>
      </c>
    </row>
    <row r="4" spans="1:9" ht="14.25" customHeight="1" x14ac:dyDescent="0.35">
      <c r="A4" s="1">
        <v>3</v>
      </c>
      <c r="B4" s="4" t="s">
        <v>67</v>
      </c>
      <c r="C4" s="3">
        <v>16</v>
      </c>
      <c r="D4" s="1">
        <v>125</v>
      </c>
      <c r="E4" s="2">
        <f>C4*D4</f>
        <v>2000</v>
      </c>
      <c r="F4" s="2">
        <f>E4*0.07</f>
        <v>140</v>
      </c>
    </row>
    <row r="5" spans="1:9" ht="14.25" customHeight="1" x14ac:dyDescent="0.35">
      <c r="A5" s="1">
        <v>4</v>
      </c>
      <c r="B5" s="4" t="s">
        <v>66</v>
      </c>
      <c r="C5" s="3">
        <v>13.75</v>
      </c>
      <c r="D5" s="1">
        <v>165</v>
      </c>
      <c r="E5" s="2">
        <f>C5*D5</f>
        <v>2268.75</v>
      </c>
      <c r="F5" s="2">
        <f>E5*0.07</f>
        <v>158.81250000000003</v>
      </c>
    </row>
    <row r="6" spans="1:9" ht="14.25" customHeight="1" x14ac:dyDescent="0.35">
      <c r="A6" s="1">
        <v>5</v>
      </c>
      <c r="B6" s="4" t="s">
        <v>65</v>
      </c>
      <c r="C6" s="3">
        <v>15.5</v>
      </c>
      <c r="D6" s="1">
        <v>144</v>
      </c>
      <c r="E6" s="2">
        <f>C6*D6</f>
        <v>2232</v>
      </c>
      <c r="F6" s="2">
        <f>E6*0.07</f>
        <v>156.24</v>
      </c>
    </row>
    <row r="7" spans="1:9" ht="14.25" customHeight="1" x14ac:dyDescent="0.35">
      <c r="A7" s="1">
        <v>6</v>
      </c>
      <c r="B7" s="4" t="s">
        <v>64</v>
      </c>
      <c r="C7" s="3">
        <v>17</v>
      </c>
      <c r="D7" s="1">
        <v>174</v>
      </c>
      <c r="E7" s="2">
        <f>C7*D7</f>
        <v>2958</v>
      </c>
      <c r="F7" s="2">
        <f>E7*0.07</f>
        <v>207.06000000000003</v>
      </c>
    </row>
    <row r="8" spans="1:9" ht="14.25" customHeight="1" x14ac:dyDescent="0.35">
      <c r="A8" s="1">
        <v>7</v>
      </c>
      <c r="B8" s="4" t="s">
        <v>63</v>
      </c>
      <c r="C8" s="3">
        <v>13.75</v>
      </c>
      <c r="D8" s="1">
        <v>161</v>
      </c>
      <c r="E8" s="2">
        <f>C8*D8</f>
        <v>2213.75</v>
      </c>
      <c r="F8" s="2">
        <f>E8*0.07</f>
        <v>154.96250000000001</v>
      </c>
    </row>
    <row r="9" spans="1:9" ht="14.25" customHeight="1" x14ac:dyDescent="0.35">
      <c r="A9" s="1">
        <v>8</v>
      </c>
      <c r="B9" s="4" t="s">
        <v>62</v>
      </c>
      <c r="C9" s="3">
        <v>15.5</v>
      </c>
      <c r="D9" s="1">
        <v>69</v>
      </c>
      <c r="E9" s="2">
        <f>C9*D9</f>
        <v>1069.5</v>
      </c>
      <c r="F9" s="2">
        <f>E9*0.07</f>
        <v>74.865000000000009</v>
      </c>
    </row>
    <row r="10" spans="1:9" ht="14.25" customHeight="1" x14ac:dyDescent="0.35">
      <c r="A10" s="1">
        <v>9</v>
      </c>
      <c r="B10" s="4" t="s">
        <v>61</v>
      </c>
      <c r="C10" s="3">
        <v>10.75</v>
      </c>
      <c r="D10" s="1">
        <v>85</v>
      </c>
      <c r="E10" s="2">
        <f>C10*D10</f>
        <v>913.75</v>
      </c>
      <c r="F10" s="2">
        <f>E10*0.07</f>
        <v>63.962500000000006</v>
      </c>
    </row>
    <row r="11" spans="1:9" ht="14.25" customHeight="1" x14ac:dyDescent="0.35">
      <c r="A11" s="1">
        <v>10</v>
      </c>
      <c r="B11" s="4" t="s">
        <v>60</v>
      </c>
      <c r="C11" s="3">
        <v>15.5</v>
      </c>
      <c r="D11" s="1">
        <v>117</v>
      </c>
      <c r="E11" s="2">
        <f>C11*D11</f>
        <v>1813.5</v>
      </c>
      <c r="F11" s="2">
        <f>E11*0.07</f>
        <v>126.94500000000001</v>
      </c>
    </row>
    <row r="12" spans="1:9" ht="14.25" customHeight="1" x14ac:dyDescent="0.35">
      <c r="A12" s="1">
        <v>11</v>
      </c>
      <c r="B12" s="4" t="s">
        <v>59</v>
      </c>
      <c r="C12" s="3">
        <v>12</v>
      </c>
      <c r="D12" s="1">
        <v>160</v>
      </c>
      <c r="E12" s="2">
        <f>C12*D12</f>
        <v>1920</v>
      </c>
      <c r="F12" s="2">
        <f>E12*0.07</f>
        <v>134.4</v>
      </c>
    </row>
    <row r="13" spans="1:9" ht="14.25" customHeight="1" x14ac:dyDescent="0.35">
      <c r="A13" s="1">
        <v>12</v>
      </c>
      <c r="B13" s="4" t="s">
        <v>58</v>
      </c>
      <c r="C13" s="3">
        <v>15.5</v>
      </c>
      <c r="D13" s="1">
        <v>152</v>
      </c>
      <c r="E13" s="2">
        <f>C13*D13</f>
        <v>2356</v>
      </c>
      <c r="F13" s="2">
        <f>E13*0.07</f>
        <v>164.92000000000002</v>
      </c>
    </row>
    <row r="14" spans="1:9" ht="14.25" customHeight="1" x14ac:dyDescent="0.35">
      <c r="A14" s="1">
        <v>13</v>
      </c>
      <c r="B14" s="4" t="s">
        <v>57</v>
      </c>
      <c r="C14" s="3">
        <v>11.75</v>
      </c>
      <c r="D14" s="1">
        <v>129</v>
      </c>
      <c r="E14" s="2">
        <f>C14*D14</f>
        <v>1515.75</v>
      </c>
      <c r="F14" s="2">
        <f>E14*0.07</f>
        <v>106.10250000000001</v>
      </c>
    </row>
    <row r="15" spans="1:9" ht="14.25" customHeight="1" x14ac:dyDescent="0.35">
      <c r="A15" s="1">
        <v>14</v>
      </c>
      <c r="B15" s="4" t="s">
        <v>56</v>
      </c>
      <c r="C15" s="3">
        <v>12</v>
      </c>
      <c r="D15" s="1">
        <v>74</v>
      </c>
      <c r="E15" s="2">
        <f>C15*D15</f>
        <v>888</v>
      </c>
      <c r="F15" s="2">
        <f>E15*0.07</f>
        <v>62.160000000000004</v>
      </c>
    </row>
    <row r="16" spans="1:9" ht="14.25" customHeight="1" x14ac:dyDescent="0.35">
      <c r="A16" s="1">
        <v>15</v>
      </c>
      <c r="B16" s="4" t="s">
        <v>55</v>
      </c>
      <c r="C16" s="3">
        <v>19</v>
      </c>
      <c r="D16" s="1">
        <v>111</v>
      </c>
      <c r="E16" s="2">
        <f>C16*D16</f>
        <v>2109</v>
      </c>
      <c r="F16" s="2">
        <f>E16*0.07</f>
        <v>147.63000000000002</v>
      </c>
    </row>
    <row r="17" spans="1:6" ht="14.25" customHeight="1" x14ac:dyDescent="0.35">
      <c r="A17" s="1">
        <v>16</v>
      </c>
      <c r="B17" s="4" t="s">
        <v>54</v>
      </c>
      <c r="C17" s="3">
        <v>17</v>
      </c>
      <c r="D17" s="1">
        <v>132</v>
      </c>
      <c r="E17" s="2">
        <f>C17*D17</f>
        <v>2244</v>
      </c>
      <c r="F17" s="2">
        <f>E17*0.07</f>
        <v>157.08000000000001</v>
      </c>
    </row>
    <row r="18" spans="1:6" ht="14.25" customHeight="1" x14ac:dyDescent="0.35">
      <c r="A18" s="1">
        <v>17</v>
      </c>
      <c r="B18" s="4" t="s">
        <v>53</v>
      </c>
      <c r="C18" s="3">
        <v>19</v>
      </c>
      <c r="D18" s="1">
        <v>168</v>
      </c>
      <c r="E18" s="2">
        <f>C18*D18</f>
        <v>3192</v>
      </c>
      <c r="F18" s="2">
        <f>E18*0.07</f>
        <v>223.44000000000003</v>
      </c>
    </row>
    <row r="19" spans="1:6" ht="14.25" customHeight="1" x14ac:dyDescent="0.35">
      <c r="A19" s="1">
        <v>18</v>
      </c>
      <c r="B19" s="4" t="s">
        <v>52</v>
      </c>
      <c r="C19" s="3">
        <v>16</v>
      </c>
      <c r="D19" s="1">
        <v>187</v>
      </c>
      <c r="E19" s="2">
        <f>C19*D19</f>
        <v>2992</v>
      </c>
      <c r="F19" s="2">
        <f>E19*0.07</f>
        <v>209.44000000000003</v>
      </c>
    </row>
    <row r="20" spans="1:6" ht="14.25" customHeight="1" x14ac:dyDescent="0.35">
      <c r="A20" s="1">
        <v>19</v>
      </c>
      <c r="B20" s="4" t="s">
        <v>51</v>
      </c>
      <c r="C20" s="3">
        <v>18</v>
      </c>
      <c r="D20" s="1">
        <v>70</v>
      </c>
      <c r="E20" s="2">
        <f>C20*D20</f>
        <v>1260</v>
      </c>
      <c r="F20" s="2">
        <f>E20*0.07</f>
        <v>88.2</v>
      </c>
    </row>
    <row r="21" spans="1:6" ht="14.25" customHeight="1" x14ac:dyDescent="0.35">
      <c r="A21" s="1">
        <v>20</v>
      </c>
      <c r="B21" s="4" t="s">
        <v>50</v>
      </c>
      <c r="C21" s="3">
        <v>16.5</v>
      </c>
      <c r="D21" s="1">
        <v>138</v>
      </c>
      <c r="E21" s="2">
        <f>C21*D21</f>
        <v>2277</v>
      </c>
      <c r="F21" s="2">
        <f>E21*0.07</f>
        <v>159.39000000000001</v>
      </c>
    </row>
    <row r="22" spans="1:6" ht="14.25" customHeight="1" x14ac:dyDescent="0.35">
      <c r="A22" s="1">
        <v>21</v>
      </c>
      <c r="B22" s="4" t="s">
        <v>49</v>
      </c>
      <c r="C22" s="3">
        <v>13</v>
      </c>
      <c r="D22" s="1">
        <v>72</v>
      </c>
      <c r="E22" s="2">
        <f>C22*D22</f>
        <v>936</v>
      </c>
      <c r="F22" s="2">
        <f>E22*0.07</f>
        <v>65.52000000000001</v>
      </c>
    </row>
    <row r="23" spans="1:6" ht="14.25" customHeight="1" x14ac:dyDescent="0.35">
      <c r="A23" s="1">
        <v>22</v>
      </c>
      <c r="B23" s="4" t="s">
        <v>45</v>
      </c>
      <c r="C23" s="3">
        <v>12</v>
      </c>
      <c r="D23" s="1">
        <v>130</v>
      </c>
      <c r="E23" s="2">
        <f>C23*D23</f>
        <v>1560</v>
      </c>
      <c r="F23" s="2">
        <f>E23*0.07</f>
        <v>109.20000000000002</v>
      </c>
    </row>
    <row r="24" spans="1:6" ht="14.25" customHeight="1" x14ac:dyDescent="0.35">
      <c r="A24" s="1">
        <v>23</v>
      </c>
      <c r="B24" s="4" t="s">
        <v>48</v>
      </c>
      <c r="C24" s="3">
        <v>18</v>
      </c>
      <c r="D24" s="1">
        <v>208</v>
      </c>
      <c r="E24" s="2">
        <f>C24*D24</f>
        <v>3744</v>
      </c>
      <c r="F24" s="2">
        <f>E24*0.07</f>
        <v>262.08000000000004</v>
      </c>
    </row>
    <row r="25" spans="1:6" ht="14.25" customHeight="1" x14ac:dyDescent="0.35">
      <c r="A25" s="1">
        <v>24</v>
      </c>
      <c r="B25" s="4" t="s">
        <v>47</v>
      </c>
      <c r="C25" s="3">
        <v>22</v>
      </c>
      <c r="D25" s="1">
        <v>97</v>
      </c>
      <c r="E25" s="2">
        <f>C25*D25</f>
        <v>2134</v>
      </c>
      <c r="F25" s="2">
        <f>E25*0.07</f>
        <v>149.38000000000002</v>
      </c>
    </row>
    <row r="26" spans="1:6" ht="14.25" customHeight="1" x14ac:dyDescent="0.35">
      <c r="A26" s="1">
        <v>25</v>
      </c>
      <c r="B26" s="4" t="s">
        <v>46</v>
      </c>
      <c r="C26" s="3">
        <v>32</v>
      </c>
      <c r="D26" s="1">
        <v>199</v>
      </c>
      <c r="E26" s="2">
        <f>C26*D26</f>
        <v>6368</v>
      </c>
      <c r="F26" s="2">
        <f>E26*0.07</f>
        <v>445.76000000000005</v>
      </c>
    </row>
    <row r="27" spans="1:6" ht="14.25" customHeight="1" x14ac:dyDescent="0.35">
      <c r="A27" s="1">
        <v>26</v>
      </c>
      <c r="B27" s="4" t="s">
        <v>45</v>
      </c>
      <c r="C27" s="3">
        <v>11</v>
      </c>
      <c r="D27" s="1">
        <v>160</v>
      </c>
      <c r="E27" s="2">
        <f>C27*D27</f>
        <v>1760</v>
      </c>
      <c r="F27" s="2">
        <f>E27*0.07</f>
        <v>123.20000000000002</v>
      </c>
    </row>
    <row r="28" spans="1:6" ht="14.25" customHeight="1" x14ac:dyDescent="0.35">
      <c r="A28" s="1">
        <v>27</v>
      </c>
      <c r="B28" s="4" t="s">
        <v>44</v>
      </c>
      <c r="C28" s="3">
        <v>14</v>
      </c>
      <c r="D28" s="1">
        <v>156</v>
      </c>
      <c r="E28" s="2">
        <f>C28*D28</f>
        <v>2184</v>
      </c>
      <c r="F28" s="2">
        <f>E28*0.07</f>
        <v>152.88000000000002</v>
      </c>
    </row>
    <row r="29" spans="1:6" ht="14.25" customHeight="1" x14ac:dyDescent="0.35">
      <c r="A29" s="1">
        <v>28</v>
      </c>
      <c r="B29" s="4" t="s">
        <v>43</v>
      </c>
      <c r="C29" s="3">
        <v>15.5</v>
      </c>
      <c r="D29" s="1">
        <v>117</v>
      </c>
      <c r="E29" s="2">
        <f>C29*D29</f>
        <v>1813.5</v>
      </c>
      <c r="F29" s="2">
        <f>E29*0.07</f>
        <v>126.94500000000001</v>
      </c>
    </row>
    <row r="30" spans="1:6" ht="14.25" customHeight="1" x14ac:dyDescent="0.35">
      <c r="A30" s="1">
        <v>29</v>
      </c>
      <c r="B30" s="4" t="s">
        <v>42</v>
      </c>
      <c r="C30" s="3">
        <v>15</v>
      </c>
      <c r="D30" s="1">
        <v>76</v>
      </c>
      <c r="E30" s="2">
        <f>C30*D30</f>
        <v>1140</v>
      </c>
      <c r="F30" s="2">
        <f>E30*0.07</f>
        <v>79.800000000000011</v>
      </c>
    </row>
    <row r="31" spans="1:6" ht="14.25" customHeight="1" x14ac:dyDescent="0.35">
      <c r="A31" s="1">
        <v>30</v>
      </c>
      <c r="B31" s="4" t="s">
        <v>41</v>
      </c>
      <c r="C31" s="3">
        <v>12</v>
      </c>
      <c r="D31" s="1">
        <v>175</v>
      </c>
      <c r="E31" s="2">
        <f>C31*D31</f>
        <v>2100</v>
      </c>
      <c r="F31" s="2">
        <f>E31*0.07</f>
        <v>147</v>
      </c>
    </row>
    <row r="32" spans="1:6" ht="14.25" customHeight="1" x14ac:dyDescent="0.35">
      <c r="A32" s="1">
        <v>31</v>
      </c>
      <c r="B32" s="4" t="s">
        <v>40</v>
      </c>
      <c r="C32" s="3">
        <v>15.5</v>
      </c>
      <c r="D32" s="1">
        <v>87</v>
      </c>
      <c r="E32" s="2">
        <f>C32*D32</f>
        <v>1348.5</v>
      </c>
      <c r="F32" s="2">
        <f>E32*0.07</f>
        <v>94.39500000000001</v>
      </c>
    </row>
    <row r="33" spans="1:6" ht="14.25" customHeight="1" x14ac:dyDescent="0.35">
      <c r="A33" s="1">
        <v>32</v>
      </c>
      <c r="B33" s="4" t="s">
        <v>39</v>
      </c>
      <c r="C33" s="3">
        <v>11.75</v>
      </c>
      <c r="D33" s="1">
        <v>130</v>
      </c>
      <c r="E33" s="2">
        <f>C33*D33</f>
        <v>1527.5</v>
      </c>
      <c r="F33" s="2">
        <f>E33*0.07</f>
        <v>106.92500000000001</v>
      </c>
    </row>
    <row r="34" spans="1:6" ht="14.25" customHeight="1" x14ac:dyDescent="0.35">
      <c r="A34" s="1">
        <v>33</v>
      </c>
      <c r="B34" s="4" t="s">
        <v>38</v>
      </c>
      <c r="C34" s="3">
        <v>12</v>
      </c>
      <c r="D34" s="1">
        <v>185</v>
      </c>
      <c r="E34" s="2">
        <f>C34*D34</f>
        <v>2220</v>
      </c>
      <c r="F34" s="2">
        <f>E34*0.07</f>
        <v>155.4</v>
      </c>
    </row>
    <row r="35" spans="1:6" ht="14.25" customHeight="1" x14ac:dyDescent="0.35">
      <c r="A35" s="1">
        <v>34</v>
      </c>
      <c r="B35" s="4" t="s">
        <v>37</v>
      </c>
      <c r="C35" s="3">
        <v>19</v>
      </c>
      <c r="D35" s="1">
        <v>152</v>
      </c>
      <c r="E35" s="2">
        <f>C35*D35</f>
        <v>2888</v>
      </c>
      <c r="F35" s="2">
        <f>E35*0.07</f>
        <v>202.16000000000003</v>
      </c>
    </row>
    <row r="36" spans="1:6" ht="14.25" customHeight="1" x14ac:dyDescent="0.35">
      <c r="A36" s="1">
        <v>35</v>
      </c>
      <c r="B36" s="4" t="s">
        <v>36</v>
      </c>
      <c r="C36" s="3">
        <v>17</v>
      </c>
      <c r="D36" s="1">
        <v>186</v>
      </c>
      <c r="E36" s="2">
        <f>C36*D36</f>
        <v>3162</v>
      </c>
      <c r="F36" s="2">
        <f>E36*0.07</f>
        <v>221.34000000000003</v>
      </c>
    </row>
    <row r="37" spans="1:6" ht="14.25" customHeight="1" x14ac:dyDescent="0.35">
      <c r="A37" s="1">
        <v>36</v>
      </c>
      <c r="B37" s="4" t="s">
        <v>35</v>
      </c>
      <c r="C37" s="3">
        <v>19</v>
      </c>
      <c r="D37" s="1">
        <v>96</v>
      </c>
      <c r="E37" s="2">
        <f>C37*D37</f>
        <v>1824</v>
      </c>
      <c r="F37" s="2">
        <f>E37*0.07</f>
        <v>127.68</v>
      </c>
    </row>
    <row r="38" spans="1:6" ht="14.25" customHeight="1" x14ac:dyDescent="0.35">
      <c r="A38" s="1">
        <v>37</v>
      </c>
      <c r="B38" s="4" t="s">
        <v>34</v>
      </c>
      <c r="C38" s="3">
        <v>16</v>
      </c>
      <c r="D38" s="1">
        <v>100</v>
      </c>
      <c r="E38" s="2">
        <f>C38*D38</f>
        <v>1600</v>
      </c>
      <c r="F38" s="2">
        <f>E38*0.07</f>
        <v>112.00000000000001</v>
      </c>
    </row>
    <row r="39" spans="1:6" ht="14.25" customHeight="1" x14ac:dyDescent="0.35">
      <c r="A39" s="1">
        <v>38</v>
      </c>
      <c r="B39" s="4" t="s">
        <v>33</v>
      </c>
      <c r="C39" s="3">
        <v>18</v>
      </c>
      <c r="D39" s="1">
        <v>124</v>
      </c>
      <c r="E39" s="2">
        <f>C39*D39</f>
        <v>2232</v>
      </c>
      <c r="F39" s="2">
        <f>E39*0.07</f>
        <v>156.24</v>
      </c>
    </row>
    <row r="40" spans="1:6" ht="14.25" customHeight="1" x14ac:dyDescent="0.35">
      <c r="A40" s="1">
        <v>39</v>
      </c>
      <c r="B40" s="4" t="s">
        <v>32</v>
      </c>
      <c r="C40" s="3">
        <v>15.5</v>
      </c>
      <c r="D40" s="1">
        <v>71</v>
      </c>
      <c r="E40" s="2">
        <f>C40*D40</f>
        <v>1100.5</v>
      </c>
      <c r="F40" s="2">
        <f>E40*0.07</f>
        <v>77.035000000000011</v>
      </c>
    </row>
    <row r="41" spans="1:6" ht="14.25" customHeight="1" x14ac:dyDescent="0.35">
      <c r="A41" s="1">
        <v>40</v>
      </c>
      <c r="B41" s="4" t="s">
        <v>31</v>
      </c>
      <c r="C41" s="3">
        <v>14</v>
      </c>
      <c r="D41" s="1">
        <v>83</v>
      </c>
      <c r="E41" s="2">
        <f>C41*D41</f>
        <v>1162</v>
      </c>
      <c r="F41" s="2">
        <f>E41*0.07</f>
        <v>81.34</v>
      </c>
    </row>
    <row r="42" spans="1:6" ht="14.25" customHeight="1" x14ac:dyDescent="0.35">
      <c r="A42" s="1">
        <v>41</v>
      </c>
      <c r="B42" s="4" t="s">
        <v>30</v>
      </c>
      <c r="C42" s="3">
        <v>12</v>
      </c>
      <c r="D42" s="1">
        <v>168</v>
      </c>
      <c r="E42" s="2">
        <f>C42*D42</f>
        <v>2016</v>
      </c>
      <c r="F42" s="2">
        <f>E42*0.07</f>
        <v>141.12</v>
      </c>
    </row>
    <row r="43" spans="1:6" ht="14.25" customHeight="1" x14ac:dyDescent="0.35">
      <c r="A43" s="1">
        <v>42</v>
      </c>
      <c r="B43" s="4" t="s">
        <v>29</v>
      </c>
      <c r="C43" s="3">
        <v>11</v>
      </c>
      <c r="D43" s="1">
        <v>165</v>
      </c>
      <c r="E43" s="2">
        <f>C43*D43</f>
        <v>1815</v>
      </c>
      <c r="F43" s="2">
        <f>E43*0.07</f>
        <v>127.05000000000001</v>
      </c>
    </row>
    <row r="44" spans="1:6" ht="14.25" customHeight="1" x14ac:dyDescent="0.35">
      <c r="A44" s="1">
        <v>43</v>
      </c>
      <c r="B44" s="4" t="s">
        <v>28</v>
      </c>
      <c r="C44" s="3">
        <v>12</v>
      </c>
      <c r="D44" s="1">
        <v>145</v>
      </c>
      <c r="E44" s="2">
        <f>C44*D44</f>
        <v>1740</v>
      </c>
      <c r="F44" s="2">
        <f>E44*0.07</f>
        <v>121.80000000000001</v>
      </c>
    </row>
    <row r="45" spans="1:6" ht="14.25" customHeight="1" x14ac:dyDescent="0.35">
      <c r="A45" s="1">
        <v>44</v>
      </c>
      <c r="B45" s="4" t="s">
        <v>27</v>
      </c>
      <c r="C45" s="3">
        <v>15.5</v>
      </c>
      <c r="D45" s="1">
        <v>133</v>
      </c>
      <c r="E45" s="2">
        <f>C45*D45</f>
        <v>2061.5</v>
      </c>
      <c r="F45" s="2">
        <f>E45*0.07</f>
        <v>144.30500000000001</v>
      </c>
    </row>
    <row r="46" spans="1:6" ht="14.25" customHeight="1" x14ac:dyDescent="0.35">
      <c r="A46" s="1">
        <v>45</v>
      </c>
      <c r="B46" s="4" t="s">
        <v>26</v>
      </c>
      <c r="C46" s="3">
        <v>11.75</v>
      </c>
      <c r="D46" s="1">
        <v>92</v>
      </c>
      <c r="E46" s="2">
        <f>C46*D46</f>
        <v>1081</v>
      </c>
      <c r="F46" s="2">
        <f>E46*0.07</f>
        <v>75.67</v>
      </c>
    </row>
    <row r="47" spans="1:6" ht="14.25" customHeight="1" x14ac:dyDescent="0.35">
      <c r="A47" s="1">
        <v>46</v>
      </c>
      <c r="B47" s="4" t="s">
        <v>25</v>
      </c>
      <c r="C47" s="3">
        <v>12</v>
      </c>
      <c r="D47" s="1">
        <v>74</v>
      </c>
      <c r="E47" s="2">
        <f>C47*D47</f>
        <v>888</v>
      </c>
      <c r="F47" s="2">
        <f>E47*0.07</f>
        <v>62.160000000000004</v>
      </c>
    </row>
    <row r="48" spans="1:6" ht="14.25" customHeight="1" x14ac:dyDescent="0.35">
      <c r="A48" s="1">
        <v>47</v>
      </c>
      <c r="B48" s="4" t="s">
        <v>24</v>
      </c>
      <c r="C48" s="3">
        <v>19</v>
      </c>
      <c r="D48" s="1">
        <v>201</v>
      </c>
      <c r="E48" s="2">
        <f>C48*D48</f>
        <v>3819</v>
      </c>
      <c r="F48" s="2">
        <f>E48*0.07</f>
        <v>267.33000000000004</v>
      </c>
    </row>
    <row r="49" spans="1:6" ht="14.25" customHeight="1" x14ac:dyDescent="0.35">
      <c r="A49" s="1">
        <v>48</v>
      </c>
      <c r="B49" s="4" t="s">
        <v>23</v>
      </c>
      <c r="C49" s="3">
        <v>17</v>
      </c>
      <c r="D49" s="1">
        <v>112</v>
      </c>
      <c r="E49" s="2">
        <f>C49*D49</f>
        <v>1904</v>
      </c>
      <c r="F49" s="2">
        <f>E49*0.07</f>
        <v>133.28</v>
      </c>
    </row>
    <row r="50" spans="1:6" ht="14.25" customHeight="1" x14ac:dyDescent="0.35">
      <c r="A50" s="1">
        <v>49</v>
      </c>
      <c r="B50" s="4" t="s">
        <v>22</v>
      </c>
      <c r="C50" s="3">
        <v>19</v>
      </c>
      <c r="D50" s="1">
        <v>166</v>
      </c>
      <c r="E50" s="2">
        <f>C50*D50</f>
        <v>3154</v>
      </c>
      <c r="F50" s="2">
        <f>E50*0.07</f>
        <v>220.78000000000003</v>
      </c>
    </row>
    <row r="51" spans="1:6" ht="14.25" customHeight="1" x14ac:dyDescent="0.35">
      <c r="A51" s="1">
        <v>50</v>
      </c>
      <c r="B51" s="4" t="s">
        <v>21</v>
      </c>
      <c r="C51" s="3">
        <v>16</v>
      </c>
      <c r="D51" s="1">
        <v>160</v>
      </c>
      <c r="E51" s="2">
        <f>C51*D51</f>
        <v>2560</v>
      </c>
      <c r="F51" s="2">
        <f>E51*0.07</f>
        <v>179.20000000000002</v>
      </c>
    </row>
    <row r="52" spans="1:6" ht="14.25" customHeight="1" x14ac:dyDescent="0.35">
      <c r="A52" s="1">
        <v>51</v>
      </c>
      <c r="B52" s="4" t="s">
        <v>20</v>
      </c>
      <c r="C52" s="3">
        <v>18</v>
      </c>
      <c r="D52" s="1">
        <v>117</v>
      </c>
      <c r="E52" s="2">
        <f>C52*D52</f>
        <v>2106</v>
      </c>
      <c r="F52" s="2">
        <f>E52*0.07</f>
        <v>147.42000000000002</v>
      </c>
    </row>
    <row r="53" spans="1:6" ht="14.25" customHeight="1" x14ac:dyDescent="0.35">
      <c r="A53" s="1">
        <v>52</v>
      </c>
      <c r="B53" s="4" t="s">
        <v>19</v>
      </c>
      <c r="C53" s="3">
        <v>11.5</v>
      </c>
      <c r="D53" s="1">
        <v>152</v>
      </c>
      <c r="E53" s="2">
        <f>C53*D53</f>
        <v>1748</v>
      </c>
      <c r="F53" s="2">
        <f>E53*0.07</f>
        <v>122.36000000000001</v>
      </c>
    </row>
    <row r="54" spans="1:6" ht="14.25" customHeight="1" x14ac:dyDescent="0.35">
      <c r="A54" s="1">
        <v>53</v>
      </c>
      <c r="B54" s="4" t="s">
        <v>18</v>
      </c>
      <c r="C54" s="3">
        <v>15.5</v>
      </c>
      <c r="D54" s="1">
        <v>129</v>
      </c>
      <c r="E54" s="2">
        <f>C54*D54</f>
        <v>1999.5</v>
      </c>
      <c r="F54" s="2">
        <f>E54*0.07</f>
        <v>139.965</v>
      </c>
    </row>
    <row r="55" spans="1:6" ht="14.25" customHeight="1" x14ac:dyDescent="0.35">
      <c r="A55" s="1">
        <v>54</v>
      </c>
      <c r="B55" s="4" t="s">
        <v>17</v>
      </c>
      <c r="C55" s="3">
        <v>15.5</v>
      </c>
      <c r="D55" s="1">
        <v>74</v>
      </c>
      <c r="E55" s="2">
        <f>C55*D55</f>
        <v>1147</v>
      </c>
      <c r="F55" s="2">
        <f>E55*0.07</f>
        <v>80.290000000000006</v>
      </c>
    </row>
    <row r="56" spans="1:6" ht="14.25" customHeight="1" x14ac:dyDescent="0.35">
      <c r="A56" s="1">
        <v>55</v>
      </c>
      <c r="B56" s="4" t="s">
        <v>16</v>
      </c>
      <c r="C56" s="3">
        <v>12</v>
      </c>
      <c r="D56" s="1">
        <v>111</v>
      </c>
      <c r="E56" s="2">
        <f>C56*D56</f>
        <v>1332</v>
      </c>
      <c r="F56" s="2">
        <f>E56*0.07</f>
        <v>93.240000000000009</v>
      </c>
    </row>
    <row r="57" spans="1:6" ht="14.25" customHeight="1" x14ac:dyDescent="0.35">
      <c r="A57" s="1">
        <v>56</v>
      </c>
      <c r="B57" s="4" t="s">
        <v>15</v>
      </c>
      <c r="C57" s="3">
        <v>15.5</v>
      </c>
      <c r="D57" s="1">
        <v>132</v>
      </c>
      <c r="E57" s="2">
        <f>C57*D57</f>
        <v>2046</v>
      </c>
      <c r="F57" s="2">
        <f>E57*0.07</f>
        <v>143.22000000000003</v>
      </c>
    </row>
    <row r="58" spans="1:6" ht="14.25" customHeight="1" x14ac:dyDescent="0.35">
      <c r="A58" s="1">
        <v>57</v>
      </c>
      <c r="B58" s="4" t="s">
        <v>14</v>
      </c>
      <c r="C58" s="3">
        <v>11.75</v>
      </c>
      <c r="D58" s="1">
        <v>168</v>
      </c>
      <c r="E58" s="2">
        <f>C58*D58</f>
        <v>1974</v>
      </c>
      <c r="F58" s="2">
        <f>E58*0.07</f>
        <v>138.18</v>
      </c>
    </row>
    <row r="59" spans="1:6" ht="14.25" customHeight="1" x14ac:dyDescent="0.35">
      <c r="A59" s="1">
        <v>58</v>
      </c>
      <c r="B59" s="4" t="s">
        <v>13</v>
      </c>
      <c r="C59" s="3">
        <v>12</v>
      </c>
      <c r="D59" s="1">
        <v>187</v>
      </c>
      <c r="E59" s="2">
        <f>C59*D59</f>
        <v>2244</v>
      </c>
      <c r="F59" s="2">
        <f>E59*0.07</f>
        <v>157.08000000000001</v>
      </c>
    </row>
    <row r="60" spans="1:6" ht="14.25" customHeight="1" x14ac:dyDescent="0.35">
      <c r="A60" s="1">
        <v>59</v>
      </c>
      <c r="B60" s="4" t="s">
        <v>12</v>
      </c>
      <c r="C60" s="3">
        <v>19</v>
      </c>
      <c r="D60" s="1">
        <v>70</v>
      </c>
      <c r="E60" s="2">
        <f>C60*D60</f>
        <v>1330</v>
      </c>
      <c r="F60" s="2">
        <f>E60*0.07</f>
        <v>93.100000000000009</v>
      </c>
    </row>
    <row r="61" spans="1:6" ht="14.25" customHeight="1" x14ac:dyDescent="0.35">
      <c r="A61" s="1">
        <v>60</v>
      </c>
      <c r="B61" s="4" t="s">
        <v>11</v>
      </c>
      <c r="C61" s="3">
        <v>17</v>
      </c>
      <c r="D61" s="1">
        <v>138</v>
      </c>
      <c r="E61" s="2">
        <f>C61*D61</f>
        <v>2346</v>
      </c>
      <c r="F61" s="2">
        <f>E61*0.07</f>
        <v>164.22000000000003</v>
      </c>
    </row>
    <row r="62" spans="1:6" ht="14.25" customHeight="1" x14ac:dyDescent="0.35">
      <c r="A62" s="1">
        <v>61</v>
      </c>
      <c r="B62" s="4" t="s">
        <v>10</v>
      </c>
      <c r="C62" s="3">
        <v>19</v>
      </c>
      <c r="D62" s="1">
        <v>72</v>
      </c>
      <c r="E62" s="2">
        <f>C62*D62</f>
        <v>1368</v>
      </c>
      <c r="F62" s="2">
        <f>E62*0.07</f>
        <v>95.76</v>
      </c>
    </row>
    <row r="63" spans="1:6" ht="14.25" customHeight="1" x14ac:dyDescent="0.35">
      <c r="A63" s="1">
        <v>62</v>
      </c>
      <c r="B63" s="4" t="s">
        <v>9</v>
      </c>
      <c r="C63" s="3">
        <v>16</v>
      </c>
      <c r="D63" s="1">
        <v>130</v>
      </c>
      <c r="E63" s="2">
        <f>C63*D63</f>
        <v>2080</v>
      </c>
      <c r="F63" s="2">
        <f>E63*0.07</f>
        <v>145.60000000000002</v>
      </c>
    </row>
    <row r="64" spans="1:6" ht="14.25" customHeight="1" x14ac:dyDescent="0.35">
      <c r="A64" s="1">
        <v>63</v>
      </c>
      <c r="B64" s="4" t="s">
        <v>8</v>
      </c>
      <c r="C64" s="3">
        <v>18</v>
      </c>
      <c r="D64" s="1">
        <v>208</v>
      </c>
      <c r="E64" s="2">
        <f>C64*D64</f>
        <v>3744</v>
      </c>
      <c r="F64" s="2">
        <f>E64*0.07</f>
        <v>262.08000000000004</v>
      </c>
    </row>
    <row r="65" spans="1:6" ht="14.25" customHeight="1" x14ac:dyDescent="0.35">
      <c r="A65" s="1">
        <v>64</v>
      </c>
      <c r="B65" s="4" t="s">
        <v>7</v>
      </c>
      <c r="C65" s="3">
        <v>11</v>
      </c>
      <c r="D65" s="1">
        <v>97</v>
      </c>
      <c r="E65" s="2">
        <f>C65*D65</f>
        <v>1067</v>
      </c>
      <c r="F65" s="2">
        <f>E65*0.07</f>
        <v>74.690000000000012</v>
      </c>
    </row>
    <row r="66" spans="1:6" ht="14.25" customHeight="1" x14ac:dyDescent="0.35">
      <c r="A66" s="1">
        <v>65</v>
      </c>
      <c r="B66" s="4" t="s">
        <v>6</v>
      </c>
      <c r="C66" s="3">
        <v>15.5</v>
      </c>
      <c r="D66" s="1">
        <v>199</v>
      </c>
      <c r="E66" s="2">
        <f>C66*D66</f>
        <v>3084.5</v>
      </c>
      <c r="F66" s="2">
        <f>E66*0.07</f>
        <v>215.91500000000002</v>
      </c>
    </row>
    <row r="67" spans="1:6" ht="14.25" customHeight="1" x14ac:dyDescent="0.35">
      <c r="A67" s="1">
        <v>66</v>
      </c>
      <c r="B67" s="4" t="s">
        <v>5</v>
      </c>
      <c r="C67" s="3">
        <v>11</v>
      </c>
      <c r="D67" s="1">
        <v>160</v>
      </c>
      <c r="E67" s="2">
        <f>C67*D67</f>
        <v>1760</v>
      </c>
      <c r="F67" s="2">
        <f>E67*0.07</f>
        <v>123.20000000000002</v>
      </c>
    </row>
    <row r="68" spans="1:6" ht="14.25" customHeight="1" x14ac:dyDescent="0.35">
      <c r="A68" s="1">
        <v>67</v>
      </c>
      <c r="B68" s="4" t="s">
        <v>4</v>
      </c>
      <c r="C68" s="3">
        <v>12</v>
      </c>
      <c r="D68" s="1">
        <v>156</v>
      </c>
      <c r="E68" s="2">
        <f>C68*D68</f>
        <v>1872</v>
      </c>
      <c r="F68" s="2">
        <f>E68*0.07</f>
        <v>131.04000000000002</v>
      </c>
    </row>
    <row r="69" spans="1:6" ht="14.25" customHeight="1" x14ac:dyDescent="0.35">
      <c r="A69" s="1">
        <v>68</v>
      </c>
      <c r="B69" s="4" t="s">
        <v>3</v>
      </c>
      <c r="C69" s="3">
        <v>15.5</v>
      </c>
      <c r="D69" s="1">
        <v>117</v>
      </c>
      <c r="E69" s="2">
        <f>C69*D69</f>
        <v>1813.5</v>
      </c>
      <c r="F69" s="2">
        <f>E69*0.07</f>
        <v>126.94500000000001</v>
      </c>
    </row>
    <row r="70" spans="1:6" ht="14.25" customHeight="1" x14ac:dyDescent="0.35">
      <c r="A70" s="1">
        <v>69</v>
      </c>
      <c r="B70" s="4" t="s">
        <v>2</v>
      </c>
      <c r="C70" s="3">
        <v>11</v>
      </c>
      <c r="D70" s="1">
        <v>76</v>
      </c>
      <c r="E70" s="2">
        <f>C70*D70</f>
        <v>836</v>
      </c>
      <c r="F70" s="2">
        <f>E70*0.07</f>
        <v>58.52</v>
      </c>
    </row>
    <row r="71" spans="1:6" ht="14.25" customHeight="1" x14ac:dyDescent="0.35">
      <c r="A71" s="1">
        <v>70</v>
      </c>
      <c r="B71" s="4" t="s">
        <v>1</v>
      </c>
      <c r="C71" s="3">
        <v>12</v>
      </c>
      <c r="D71" s="1">
        <v>175</v>
      </c>
      <c r="E71" s="2">
        <f>C71*D71</f>
        <v>2100</v>
      </c>
      <c r="F71" s="2">
        <f>E71*0.07</f>
        <v>147</v>
      </c>
    </row>
    <row r="72" spans="1:6" ht="14.25" customHeight="1" x14ac:dyDescent="0.35">
      <c r="D72" s="1" t="s">
        <v>0</v>
      </c>
      <c r="E72" s="2">
        <f>SUM(E2:E71)</f>
        <v>142794.5</v>
      </c>
      <c r="F72" s="2">
        <f>E72*0.07</f>
        <v>9995.6150000000016</v>
      </c>
    </row>
    <row r="73" spans="1:6" ht="14.25" customHeight="1" x14ac:dyDescent="0.35">
      <c r="D73" s="1" t="s">
        <v>78</v>
      </c>
      <c r="E73" s="2">
        <f>AVERAGE(E2:E71)</f>
        <v>2039.9214285714286</v>
      </c>
      <c r="F73" s="2">
        <f>E73*0.07</f>
        <v>142.79450000000003</v>
      </c>
    </row>
    <row r="74" spans="1:6" ht="14.25" customHeight="1" x14ac:dyDescent="0.35">
      <c r="D74" s="1" t="s">
        <v>77</v>
      </c>
      <c r="E74" s="1">
        <f>COUNT(E2:E71)</f>
        <v>70</v>
      </c>
      <c r="F74" s="1">
        <f>COUNT(F2:F71)</f>
        <v>70</v>
      </c>
    </row>
    <row r="75" spans="1:6" ht="14.25" customHeight="1" x14ac:dyDescent="0.35"/>
    <row r="76" spans="1:6" ht="14.25" customHeight="1" x14ac:dyDescent="0.35"/>
    <row r="77" spans="1:6" ht="14.25" customHeight="1" x14ac:dyDescent="0.35"/>
    <row r="78" spans="1:6" ht="14.25" customHeight="1" x14ac:dyDescent="0.35"/>
    <row r="79" spans="1:6" ht="14.25" customHeight="1" x14ac:dyDescent="0.35"/>
    <row r="80" spans="1:6" ht="14.25" customHeight="1" x14ac:dyDescent="0.35"/>
    <row r="81" s="1" customFormat="1" ht="14.25" customHeight="1" x14ac:dyDescent="0.35"/>
    <row r="82" s="1" customFormat="1" ht="14.25" customHeight="1" x14ac:dyDescent="0.35"/>
    <row r="83" s="1" customFormat="1" ht="14.25" customHeight="1" x14ac:dyDescent="0.35"/>
    <row r="84" s="1" customFormat="1" ht="14.25" customHeight="1" x14ac:dyDescent="0.35"/>
    <row r="85" s="1" customFormat="1" ht="14.25" customHeight="1" x14ac:dyDescent="0.35"/>
    <row r="86" s="1" customFormat="1" ht="14.25" customHeight="1" x14ac:dyDescent="0.35"/>
    <row r="87" s="1" customFormat="1" ht="14.25" customHeight="1" x14ac:dyDescent="0.35"/>
    <row r="88" s="1" customFormat="1" ht="14.25" customHeight="1" x14ac:dyDescent="0.35"/>
    <row r="89" s="1" customFormat="1" ht="14.25" customHeight="1" x14ac:dyDescent="0.35"/>
    <row r="90" s="1" customFormat="1" ht="14.25" customHeight="1" x14ac:dyDescent="0.35"/>
    <row r="91" s="1" customFormat="1" ht="14.25" customHeight="1" x14ac:dyDescent="0.35"/>
    <row r="92" s="1" customFormat="1" ht="14.25" customHeight="1" x14ac:dyDescent="0.35"/>
    <row r="93" s="1" customFormat="1" ht="14.25" customHeight="1" x14ac:dyDescent="0.35"/>
    <row r="94" s="1" customFormat="1" ht="14.25" customHeight="1" x14ac:dyDescent="0.35"/>
    <row r="95" s="1" customFormat="1" ht="14.25" customHeight="1" x14ac:dyDescent="0.35"/>
    <row r="96" s="1" customFormat="1" ht="14.25" customHeight="1" x14ac:dyDescent="0.35"/>
    <row r="97" s="1" customFormat="1" ht="14.25" customHeight="1" x14ac:dyDescent="0.35"/>
    <row r="98" s="1" customFormat="1" ht="14.25" customHeight="1" x14ac:dyDescent="0.35"/>
    <row r="99" s="1" customFormat="1" ht="14.25" customHeight="1" x14ac:dyDescent="0.35"/>
    <row r="100" s="1" customFormat="1" ht="14.25" customHeight="1" x14ac:dyDescent="0.35"/>
    <row r="101" s="1" customFormat="1" ht="14.25" customHeight="1" x14ac:dyDescent="0.35"/>
    <row r="102" s="1" customFormat="1" ht="14.25" customHeight="1" x14ac:dyDescent="0.35"/>
    <row r="103" s="1" customFormat="1" ht="14.25" customHeight="1" x14ac:dyDescent="0.35"/>
    <row r="104" s="1" customFormat="1" ht="14.25" customHeight="1" x14ac:dyDescent="0.35"/>
    <row r="105" s="1" customFormat="1" ht="14.25" customHeight="1" x14ac:dyDescent="0.35"/>
    <row r="106" s="1" customFormat="1" ht="14.25" customHeight="1" x14ac:dyDescent="0.35"/>
    <row r="107" s="1" customFormat="1" ht="14.25" customHeight="1" x14ac:dyDescent="0.35"/>
    <row r="108" s="1" customFormat="1" ht="14.25" customHeight="1" x14ac:dyDescent="0.35"/>
    <row r="109" s="1" customFormat="1" ht="14.25" customHeight="1" x14ac:dyDescent="0.35"/>
    <row r="110" s="1" customFormat="1" ht="14.25" customHeight="1" x14ac:dyDescent="0.35"/>
    <row r="111" s="1" customFormat="1" ht="14.25" customHeight="1" x14ac:dyDescent="0.35"/>
    <row r="112" s="1" customFormat="1" ht="14.25" customHeight="1" x14ac:dyDescent="0.35"/>
    <row r="113" s="1" customFormat="1" ht="14.25" customHeight="1" x14ac:dyDescent="0.35"/>
    <row r="114" s="1" customFormat="1" ht="14.25" customHeight="1" x14ac:dyDescent="0.35"/>
    <row r="115" s="1" customFormat="1" ht="14.25" customHeight="1" x14ac:dyDescent="0.35"/>
    <row r="116" s="1" customFormat="1" ht="14.25" customHeight="1" x14ac:dyDescent="0.35"/>
    <row r="117" s="1" customFormat="1" ht="14.25" customHeight="1" x14ac:dyDescent="0.35"/>
    <row r="118" s="1" customFormat="1" ht="14.25" customHeight="1" x14ac:dyDescent="0.35"/>
    <row r="119" s="1" customFormat="1" ht="14.25" customHeight="1" x14ac:dyDescent="0.35"/>
    <row r="120" s="1" customFormat="1" ht="14.25" customHeight="1" x14ac:dyDescent="0.35"/>
    <row r="121" s="1" customFormat="1" ht="14.25" customHeight="1" x14ac:dyDescent="0.35"/>
    <row r="122" s="1" customFormat="1" ht="14.25" customHeight="1" x14ac:dyDescent="0.35"/>
    <row r="123" s="1" customFormat="1" ht="14.25" customHeight="1" x14ac:dyDescent="0.35"/>
    <row r="124" s="1" customFormat="1" ht="14.25" customHeight="1" x14ac:dyDescent="0.35"/>
    <row r="125" s="1" customFormat="1" ht="14.25" customHeight="1" x14ac:dyDescent="0.35"/>
    <row r="126" s="1" customFormat="1" ht="14.25" customHeight="1" x14ac:dyDescent="0.35"/>
    <row r="127" s="1" customFormat="1" ht="14.25" customHeight="1" x14ac:dyDescent="0.35"/>
    <row r="128" s="1" customFormat="1" ht="14.25" customHeight="1" x14ac:dyDescent="0.35"/>
    <row r="129" s="1" customFormat="1" ht="14.25" customHeight="1" x14ac:dyDescent="0.35"/>
    <row r="130" s="1" customFormat="1" ht="14.25" customHeight="1" x14ac:dyDescent="0.35"/>
    <row r="131" s="1" customFormat="1" ht="14.25" customHeight="1" x14ac:dyDescent="0.35"/>
    <row r="132" s="1" customFormat="1" ht="14.25" customHeight="1" x14ac:dyDescent="0.35"/>
    <row r="133" s="1" customFormat="1" ht="14.25" customHeight="1" x14ac:dyDescent="0.35"/>
    <row r="134" s="1" customFormat="1" ht="14.25" customHeight="1" x14ac:dyDescent="0.35"/>
    <row r="135" s="1" customFormat="1" ht="14.25" customHeight="1" x14ac:dyDescent="0.35"/>
    <row r="136" s="1" customFormat="1" ht="14.25" customHeight="1" x14ac:dyDescent="0.35"/>
    <row r="137" s="1" customFormat="1" ht="14.25" customHeight="1" x14ac:dyDescent="0.35"/>
    <row r="138" s="1" customFormat="1" ht="14.25" customHeight="1" x14ac:dyDescent="0.35"/>
    <row r="139" s="1" customFormat="1" ht="14.25" customHeight="1" x14ac:dyDescent="0.35"/>
    <row r="140" s="1" customFormat="1" ht="14.25" customHeight="1" x14ac:dyDescent="0.35"/>
    <row r="141" s="1" customFormat="1" ht="14.25" customHeight="1" x14ac:dyDescent="0.35"/>
    <row r="142" s="1" customFormat="1" ht="14.25" customHeight="1" x14ac:dyDescent="0.35"/>
    <row r="143" s="1" customFormat="1" ht="14.25" customHeight="1" x14ac:dyDescent="0.35"/>
    <row r="144" s="1" customFormat="1" ht="14.25" customHeight="1" x14ac:dyDescent="0.35"/>
    <row r="145" s="1" customFormat="1" ht="14.25" customHeight="1" x14ac:dyDescent="0.35"/>
    <row r="146" s="1" customFormat="1" ht="14.25" customHeight="1" x14ac:dyDescent="0.35"/>
    <row r="147" s="1" customFormat="1" ht="14.25" customHeight="1" x14ac:dyDescent="0.35"/>
    <row r="148" s="1" customFormat="1" ht="14.25" customHeight="1" x14ac:dyDescent="0.35"/>
    <row r="149" s="1" customFormat="1" ht="14.25" customHeight="1" x14ac:dyDescent="0.35"/>
    <row r="150" s="1" customFormat="1" ht="14.25" customHeight="1" x14ac:dyDescent="0.35"/>
    <row r="151" s="1" customFormat="1" ht="14.25" customHeight="1" x14ac:dyDescent="0.35"/>
    <row r="152" s="1" customFormat="1" ht="14.25" customHeight="1" x14ac:dyDescent="0.35"/>
    <row r="153" s="1" customFormat="1" ht="14.25" customHeight="1" x14ac:dyDescent="0.35"/>
    <row r="154" s="1" customFormat="1" ht="14.25" customHeight="1" x14ac:dyDescent="0.35"/>
    <row r="155" s="1" customFormat="1" ht="14.25" customHeight="1" x14ac:dyDescent="0.35"/>
    <row r="156" s="1" customFormat="1" ht="14.25" customHeight="1" x14ac:dyDescent="0.35"/>
    <row r="157" s="1" customFormat="1" ht="14.25" customHeight="1" x14ac:dyDescent="0.35"/>
    <row r="158" s="1" customFormat="1" ht="14.25" customHeight="1" x14ac:dyDescent="0.35"/>
    <row r="159" s="1" customFormat="1" ht="14.25" customHeight="1" x14ac:dyDescent="0.35"/>
    <row r="160" s="1" customFormat="1" ht="14.25" customHeight="1" x14ac:dyDescent="0.35"/>
    <row r="161" s="1" customFormat="1" ht="14.25" customHeight="1" x14ac:dyDescent="0.35"/>
    <row r="162" s="1" customFormat="1" ht="14.25" customHeight="1" x14ac:dyDescent="0.35"/>
    <row r="163" s="1" customFormat="1" ht="14.25" customHeight="1" x14ac:dyDescent="0.35"/>
    <row r="164" s="1" customFormat="1" ht="14.25" customHeight="1" x14ac:dyDescent="0.35"/>
    <row r="165" s="1" customFormat="1" ht="14.25" customHeight="1" x14ac:dyDescent="0.35"/>
    <row r="166" s="1" customFormat="1" ht="14.25" customHeight="1" x14ac:dyDescent="0.35"/>
    <row r="167" s="1" customFormat="1" ht="14.25" customHeight="1" x14ac:dyDescent="0.35"/>
    <row r="168" s="1" customFormat="1" ht="14.25" customHeight="1" x14ac:dyDescent="0.35"/>
    <row r="169" s="1" customFormat="1" ht="14.25" customHeight="1" x14ac:dyDescent="0.35"/>
    <row r="170" s="1" customFormat="1" ht="14.25" customHeight="1" x14ac:dyDescent="0.35"/>
    <row r="171" s="1" customFormat="1" ht="14.25" customHeight="1" x14ac:dyDescent="0.35"/>
    <row r="172" s="1" customFormat="1" ht="14.25" customHeight="1" x14ac:dyDescent="0.35"/>
    <row r="173" s="1" customFormat="1" ht="14.25" customHeight="1" x14ac:dyDescent="0.35"/>
    <row r="174" s="1" customFormat="1" ht="14.25" customHeight="1" x14ac:dyDescent="0.35"/>
    <row r="175" s="1" customFormat="1" ht="14.25" customHeight="1" x14ac:dyDescent="0.35"/>
    <row r="176" s="1" customFormat="1" ht="14.25" customHeight="1" x14ac:dyDescent="0.35"/>
    <row r="177" s="1" customFormat="1" ht="14.25" customHeight="1" x14ac:dyDescent="0.35"/>
    <row r="178" s="1" customFormat="1" ht="14.25" customHeight="1" x14ac:dyDescent="0.35"/>
    <row r="179" s="1" customFormat="1" ht="14.25" customHeight="1" x14ac:dyDescent="0.35"/>
    <row r="180" s="1" customFormat="1" ht="14.25" customHeight="1" x14ac:dyDescent="0.35"/>
    <row r="181" s="1" customFormat="1" ht="14.25" customHeight="1" x14ac:dyDescent="0.35"/>
    <row r="182" s="1" customFormat="1" ht="14.25" customHeight="1" x14ac:dyDescent="0.35"/>
    <row r="183" s="1" customFormat="1" ht="14.25" customHeight="1" x14ac:dyDescent="0.35"/>
    <row r="184" s="1" customFormat="1" ht="14.25" customHeight="1" x14ac:dyDescent="0.35"/>
    <row r="185" s="1" customFormat="1" ht="14.25" customHeight="1" x14ac:dyDescent="0.35"/>
    <row r="186" s="1" customFormat="1" ht="14.25" customHeight="1" x14ac:dyDescent="0.35"/>
    <row r="187" s="1" customFormat="1" ht="14.25" customHeight="1" x14ac:dyDescent="0.35"/>
    <row r="188" s="1" customFormat="1" ht="14.25" customHeight="1" x14ac:dyDescent="0.35"/>
    <row r="189" s="1" customFormat="1" ht="14.25" customHeight="1" x14ac:dyDescent="0.35"/>
    <row r="190" s="1" customFormat="1" ht="14.25" customHeight="1" x14ac:dyDescent="0.35"/>
    <row r="191" s="1" customFormat="1" ht="14.25" customHeight="1" x14ac:dyDescent="0.35"/>
    <row r="192" s="1" customFormat="1" ht="14.25" customHeight="1" x14ac:dyDescent="0.35"/>
    <row r="193" s="1" customFormat="1" ht="14.25" customHeight="1" x14ac:dyDescent="0.35"/>
    <row r="194" s="1" customFormat="1" ht="14.25" customHeight="1" x14ac:dyDescent="0.35"/>
    <row r="195" s="1" customFormat="1" ht="14.25" customHeight="1" x14ac:dyDescent="0.35"/>
    <row r="196" s="1" customFormat="1" ht="14.25" customHeight="1" x14ac:dyDescent="0.35"/>
    <row r="197" s="1" customFormat="1" ht="14.25" customHeight="1" x14ac:dyDescent="0.35"/>
    <row r="198" s="1" customFormat="1" ht="14.25" customHeight="1" x14ac:dyDescent="0.35"/>
    <row r="199" s="1" customFormat="1" ht="14.25" customHeight="1" x14ac:dyDescent="0.35"/>
    <row r="200" s="1" customFormat="1" ht="14.25" customHeight="1" x14ac:dyDescent="0.35"/>
    <row r="201" s="1" customFormat="1" ht="14.25" customHeight="1" x14ac:dyDescent="0.35"/>
    <row r="202" s="1" customFormat="1" ht="14.25" customHeight="1" x14ac:dyDescent="0.35"/>
    <row r="203" s="1" customFormat="1" ht="14.25" customHeight="1" x14ac:dyDescent="0.35"/>
    <row r="204" s="1" customFormat="1" ht="14.25" customHeight="1" x14ac:dyDescent="0.35"/>
    <row r="205" s="1" customFormat="1" ht="14.25" customHeight="1" x14ac:dyDescent="0.35"/>
    <row r="206" s="1" customFormat="1" ht="14.25" customHeight="1" x14ac:dyDescent="0.35"/>
    <row r="207" s="1" customFormat="1" ht="14.25" customHeight="1" x14ac:dyDescent="0.35"/>
    <row r="208" s="1" customFormat="1" ht="14.25" customHeight="1" x14ac:dyDescent="0.35"/>
    <row r="209" s="1" customFormat="1" ht="14.25" customHeight="1" x14ac:dyDescent="0.35"/>
    <row r="210" s="1" customFormat="1" ht="14.25" customHeight="1" x14ac:dyDescent="0.35"/>
    <row r="211" s="1" customFormat="1" ht="14.25" customHeight="1" x14ac:dyDescent="0.35"/>
    <row r="212" s="1" customFormat="1" ht="14.25" customHeight="1" x14ac:dyDescent="0.35"/>
    <row r="213" s="1" customFormat="1" ht="14.25" customHeight="1" x14ac:dyDescent="0.35"/>
    <row r="214" s="1" customFormat="1" ht="14.25" customHeight="1" x14ac:dyDescent="0.35"/>
    <row r="215" s="1" customFormat="1" ht="14.25" customHeight="1" x14ac:dyDescent="0.35"/>
    <row r="216" s="1" customFormat="1" ht="14.25" customHeight="1" x14ac:dyDescent="0.35"/>
    <row r="217" s="1" customFormat="1" ht="14.25" customHeight="1" x14ac:dyDescent="0.35"/>
    <row r="218" s="1" customFormat="1" ht="14.25" customHeight="1" x14ac:dyDescent="0.35"/>
    <row r="219" s="1" customFormat="1" ht="14.25" customHeight="1" x14ac:dyDescent="0.35"/>
    <row r="220" s="1" customFormat="1" ht="14.25" customHeight="1" x14ac:dyDescent="0.35"/>
    <row r="221" s="1" customFormat="1" ht="14.25" customHeight="1" x14ac:dyDescent="0.35"/>
    <row r="222" s="1" customFormat="1" ht="14.25" customHeight="1" x14ac:dyDescent="0.35"/>
    <row r="223" s="1" customFormat="1" ht="14.25" customHeight="1" x14ac:dyDescent="0.35"/>
    <row r="224" s="1" customFormat="1" ht="14.25" customHeight="1" x14ac:dyDescent="0.35"/>
    <row r="225" s="1" customFormat="1" ht="14.25" customHeight="1" x14ac:dyDescent="0.35"/>
    <row r="226" s="1" customFormat="1" ht="14.25" customHeight="1" x14ac:dyDescent="0.35"/>
    <row r="227" s="1" customFormat="1" ht="14.25" customHeight="1" x14ac:dyDescent="0.35"/>
    <row r="228" s="1" customFormat="1" ht="14.25" customHeight="1" x14ac:dyDescent="0.35"/>
    <row r="229" s="1" customFormat="1" ht="14.25" customHeight="1" x14ac:dyDescent="0.35"/>
    <row r="230" s="1" customFormat="1" ht="14.25" customHeight="1" x14ac:dyDescent="0.35"/>
    <row r="231" s="1" customFormat="1" ht="14.25" customHeight="1" x14ac:dyDescent="0.35"/>
    <row r="232" s="1" customFormat="1" ht="14.25" customHeight="1" x14ac:dyDescent="0.35"/>
    <row r="233" s="1" customFormat="1" ht="14.25" customHeight="1" x14ac:dyDescent="0.35"/>
    <row r="234" s="1" customFormat="1" ht="14.25" customHeight="1" x14ac:dyDescent="0.35"/>
    <row r="235" s="1" customFormat="1" ht="14.25" customHeight="1" x14ac:dyDescent="0.35"/>
    <row r="236" s="1" customFormat="1" ht="14.25" customHeight="1" x14ac:dyDescent="0.35"/>
    <row r="237" s="1" customFormat="1" ht="14.25" customHeight="1" x14ac:dyDescent="0.35"/>
    <row r="238" s="1" customFormat="1" ht="14.25" customHeight="1" x14ac:dyDescent="0.35"/>
    <row r="239" s="1" customFormat="1" ht="14.25" customHeight="1" x14ac:dyDescent="0.35"/>
    <row r="240" s="1" customFormat="1" ht="14.25" customHeight="1" x14ac:dyDescent="0.35"/>
    <row r="241" s="1" customFormat="1" ht="14.25" customHeight="1" x14ac:dyDescent="0.35"/>
    <row r="242" s="1" customFormat="1" ht="14.25" customHeight="1" x14ac:dyDescent="0.35"/>
    <row r="243" s="1" customFormat="1" ht="14.25" customHeight="1" x14ac:dyDescent="0.35"/>
    <row r="244" s="1" customFormat="1" ht="14.25" customHeight="1" x14ac:dyDescent="0.35"/>
    <row r="245" s="1" customFormat="1" ht="14.25" customHeight="1" x14ac:dyDescent="0.35"/>
    <row r="246" s="1" customFormat="1" ht="14.25" customHeight="1" x14ac:dyDescent="0.35"/>
    <row r="247" s="1" customFormat="1" ht="14.25" customHeight="1" x14ac:dyDescent="0.35"/>
    <row r="248" s="1" customFormat="1" ht="14.25" customHeight="1" x14ac:dyDescent="0.35"/>
    <row r="249" s="1" customFormat="1" ht="14.25" customHeight="1" x14ac:dyDescent="0.35"/>
    <row r="250" s="1" customFormat="1" ht="14.25" customHeight="1" x14ac:dyDescent="0.35"/>
    <row r="251" s="1" customFormat="1" ht="14.25" customHeight="1" x14ac:dyDescent="0.35"/>
    <row r="252" s="1" customFormat="1" ht="14.25" customHeight="1" x14ac:dyDescent="0.35"/>
    <row r="253" s="1" customFormat="1" ht="14.25" customHeight="1" x14ac:dyDescent="0.35"/>
    <row r="254" s="1" customFormat="1" ht="14.25" customHeight="1" x14ac:dyDescent="0.35"/>
    <row r="255" s="1" customFormat="1" ht="14.25" customHeight="1" x14ac:dyDescent="0.35"/>
    <row r="256" s="1" customFormat="1" ht="14.25" customHeight="1" x14ac:dyDescent="0.35"/>
    <row r="257" s="1" customFormat="1" ht="14.25" customHeight="1" x14ac:dyDescent="0.35"/>
    <row r="258" s="1" customFormat="1" ht="14.25" customHeight="1" x14ac:dyDescent="0.35"/>
    <row r="259" s="1" customFormat="1" ht="14.25" customHeight="1" x14ac:dyDescent="0.35"/>
    <row r="260" s="1" customFormat="1" ht="14.25" customHeight="1" x14ac:dyDescent="0.35"/>
    <row r="261" s="1" customFormat="1" ht="14.25" customHeight="1" x14ac:dyDescent="0.35"/>
    <row r="262" s="1" customFormat="1" ht="14.25" customHeight="1" x14ac:dyDescent="0.35"/>
    <row r="263" s="1" customFormat="1" ht="14.25" customHeight="1" x14ac:dyDescent="0.35"/>
    <row r="264" s="1" customFormat="1" ht="14.25" customHeight="1" x14ac:dyDescent="0.35"/>
    <row r="265" s="1" customFormat="1" ht="14.25" customHeight="1" x14ac:dyDescent="0.35"/>
    <row r="266" s="1" customFormat="1" ht="14.25" customHeight="1" x14ac:dyDescent="0.35"/>
    <row r="267" s="1" customFormat="1" ht="14.25" customHeight="1" x14ac:dyDescent="0.35"/>
    <row r="268" s="1" customFormat="1" ht="14.25" customHeight="1" x14ac:dyDescent="0.35"/>
    <row r="269" s="1" customFormat="1" ht="14.25" customHeight="1" x14ac:dyDescent="0.35"/>
    <row r="270" s="1" customFormat="1" ht="14.25" customHeight="1" x14ac:dyDescent="0.35"/>
    <row r="271" s="1" customFormat="1" ht="14.25" customHeight="1" x14ac:dyDescent="0.35"/>
    <row r="272" s="1" customFormat="1" ht="14.25" customHeight="1" x14ac:dyDescent="0.35"/>
    <row r="273" s="1" customFormat="1" ht="14.25" customHeight="1" x14ac:dyDescent="0.35"/>
    <row r="274" s="1" customFormat="1" ht="14.25" customHeight="1" x14ac:dyDescent="0.35"/>
    <row r="275" s="1" customFormat="1" ht="14.25" customHeight="1" x14ac:dyDescent="0.35"/>
    <row r="276" s="1" customFormat="1" ht="14.25" customHeight="1" x14ac:dyDescent="0.35"/>
    <row r="277" s="1" customFormat="1" ht="14.25" customHeight="1" x14ac:dyDescent="0.35"/>
    <row r="278" s="1" customFormat="1" ht="14.25" customHeight="1" x14ac:dyDescent="0.35"/>
    <row r="279" s="1" customFormat="1" ht="14.25" customHeight="1" x14ac:dyDescent="0.35"/>
    <row r="280" s="1" customFormat="1" ht="14.25" customHeight="1" x14ac:dyDescent="0.35"/>
    <row r="281" s="1" customFormat="1" ht="14.25" customHeight="1" x14ac:dyDescent="0.35"/>
    <row r="282" s="1" customFormat="1" ht="14.25" customHeight="1" x14ac:dyDescent="0.35"/>
    <row r="283" s="1" customFormat="1" ht="14.25" customHeight="1" x14ac:dyDescent="0.35"/>
    <row r="284" s="1" customFormat="1" ht="14.25" customHeight="1" x14ac:dyDescent="0.35"/>
    <row r="285" s="1" customFormat="1" ht="14.25" customHeight="1" x14ac:dyDescent="0.35"/>
    <row r="286" s="1" customFormat="1" ht="14.25" customHeight="1" x14ac:dyDescent="0.35"/>
    <row r="287" s="1" customFormat="1" ht="14.25" customHeight="1" x14ac:dyDescent="0.35"/>
    <row r="288" s="1" customFormat="1" ht="14.25" customHeight="1" x14ac:dyDescent="0.35"/>
    <row r="289" s="1" customFormat="1" ht="14.25" customHeight="1" x14ac:dyDescent="0.35"/>
    <row r="290" s="1" customFormat="1" ht="14.25" customHeight="1" x14ac:dyDescent="0.35"/>
    <row r="291" s="1" customFormat="1" ht="14.25" customHeight="1" x14ac:dyDescent="0.35"/>
    <row r="292" s="1" customFormat="1" ht="14.25" customHeight="1" x14ac:dyDescent="0.35"/>
    <row r="293" s="1" customFormat="1" ht="14.25" customHeight="1" x14ac:dyDescent="0.35"/>
    <row r="294" s="1" customFormat="1" ht="14.25" customHeight="1" x14ac:dyDescent="0.35"/>
    <row r="295" s="1" customFormat="1" ht="14.25" customHeight="1" x14ac:dyDescent="0.35"/>
    <row r="296" s="1" customFormat="1" ht="14.25" customHeight="1" x14ac:dyDescent="0.35"/>
    <row r="297" s="1" customFormat="1" ht="14.25" customHeight="1" x14ac:dyDescent="0.35"/>
    <row r="298" s="1" customFormat="1" ht="14.25" customHeight="1" x14ac:dyDescent="0.35"/>
    <row r="299" s="1" customFormat="1" ht="14.25" customHeight="1" x14ac:dyDescent="0.35"/>
    <row r="300" s="1" customFormat="1" ht="14.25" customHeight="1" x14ac:dyDescent="0.35"/>
    <row r="301" s="1" customFormat="1" ht="14.25" customHeight="1" x14ac:dyDescent="0.35"/>
    <row r="302" s="1" customFormat="1" ht="14.25" customHeight="1" x14ac:dyDescent="0.35"/>
    <row r="303" s="1" customFormat="1" ht="14.25" customHeight="1" x14ac:dyDescent="0.35"/>
    <row r="304" s="1" customFormat="1" ht="14.25" customHeight="1" x14ac:dyDescent="0.35"/>
    <row r="305" s="1" customFormat="1" ht="14.25" customHeight="1" x14ac:dyDescent="0.35"/>
    <row r="306" s="1" customFormat="1" ht="14.25" customHeight="1" x14ac:dyDescent="0.35"/>
    <row r="307" s="1" customFormat="1" ht="14.25" customHeight="1" x14ac:dyDescent="0.35"/>
    <row r="308" s="1" customFormat="1" ht="14.25" customHeight="1" x14ac:dyDescent="0.35"/>
    <row r="309" s="1" customFormat="1" ht="14.25" customHeight="1" x14ac:dyDescent="0.35"/>
    <row r="310" s="1" customFormat="1" ht="14.25" customHeight="1" x14ac:dyDescent="0.35"/>
    <row r="311" s="1" customFormat="1" ht="14.25" customHeight="1" x14ac:dyDescent="0.35"/>
    <row r="312" s="1" customFormat="1" ht="14.25" customHeight="1" x14ac:dyDescent="0.35"/>
    <row r="313" s="1" customFormat="1" ht="14.25" customHeight="1" x14ac:dyDescent="0.35"/>
    <row r="314" s="1" customFormat="1" ht="14.25" customHeight="1" x14ac:dyDescent="0.35"/>
    <row r="315" s="1" customFormat="1" ht="14.25" customHeight="1" x14ac:dyDescent="0.35"/>
    <row r="316" s="1" customFormat="1" ht="14.25" customHeight="1" x14ac:dyDescent="0.35"/>
    <row r="317" s="1" customFormat="1" ht="14.25" customHeight="1" x14ac:dyDescent="0.35"/>
    <row r="318" s="1" customFormat="1" ht="14.25" customHeight="1" x14ac:dyDescent="0.35"/>
    <row r="319" s="1" customFormat="1" ht="14.25" customHeight="1" x14ac:dyDescent="0.35"/>
    <row r="320" s="1" customFormat="1" ht="14.25" customHeight="1" x14ac:dyDescent="0.35"/>
    <row r="321" s="1" customFormat="1" ht="14.25" customHeight="1" x14ac:dyDescent="0.35"/>
    <row r="322" s="1" customFormat="1" ht="14.25" customHeight="1" x14ac:dyDescent="0.35"/>
    <row r="323" s="1" customFormat="1" ht="14.25" customHeight="1" x14ac:dyDescent="0.35"/>
    <row r="324" s="1" customFormat="1" ht="14.25" customHeight="1" x14ac:dyDescent="0.35"/>
    <row r="325" s="1" customFormat="1" ht="14.25" customHeight="1" x14ac:dyDescent="0.35"/>
    <row r="326" s="1" customFormat="1" ht="14.25" customHeight="1" x14ac:dyDescent="0.35"/>
    <row r="327" s="1" customFormat="1" ht="14.25" customHeight="1" x14ac:dyDescent="0.35"/>
    <row r="328" s="1" customFormat="1" ht="14.25" customHeight="1" x14ac:dyDescent="0.35"/>
    <row r="329" s="1" customFormat="1" ht="14.25" customHeight="1" x14ac:dyDescent="0.35"/>
    <row r="330" s="1" customFormat="1" ht="14.25" customHeight="1" x14ac:dyDescent="0.35"/>
    <row r="331" s="1" customFormat="1" ht="14.25" customHeight="1" x14ac:dyDescent="0.35"/>
    <row r="332" s="1" customFormat="1" ht="14.25" customHeight="1" x14ac:dyDescent="0.35"/>
    <row r="333" s="1" customFormat="1" ht="14.25" customHeight="1" x14ac:dyDescent="0.35"/>
    <row r="334" s="1" customFormat="1" ht="14.25" customHeight="1" x14ac:dyDescent="0.35"/>
    <row r="335" s="1" customFormat="1" ht="14.25" customHeight="1" x14ac:dyDescent="0.35"/>
    <row r="336" s="1" customFormat="1" ht="14.25" customHeight="1" x14ac:dyDescent="0.35"/>
    <row r="337" s="1" customFormat="1" ht="14.25" customHeight="1" x14ac:dyDescent="0.35"/>
    <row r="338" s="1" customFormat="1" ht="14.25" customHeight="1" x14ac:dyDescent="0.35"/>
    <row r="339" s="1" customFormat="1" ht="14.25" customHeight="1" x14ac:dyDescent="0.35"/>
    <row r="340" s="1" customFormat="1" ht="14.25" customHeight="1" x14ac:dyDescent="0.35"/>
    <row r="341" s="1" customFormat="1" ht="14.25" customHeight="1" x14ac:dyDescent="0.35"/>
    <row r="342" s="1" customFormat="1" ht="14.25" customHeight="1" x14ac:dyDescent="0.35"/>
    <row r="343" s="1" customFormat="1" ht="14.25" customHeight="1" x14ac:dyDescent="0.35"/>
    <row r="344" s="1" customFormat="1" ht="14.25" customHeight="1" x14ac:dyDescent="0.35"/>
    <row r="345" s="1" customFormat="1" ht="14.25" customHeight="1" x14ac:dyDescent="0.35"/>
    <row r="346" s="1" customFormat="1" ht="14.25" customHeight="1" x14ac:dyDescent="0.35"/>
    <row r="347" s="1" customFormat="1" ht="14.25" customHeight="1" x14ac:dyDescent="0.35"/>
    <row r="348" s="1" customFormat="1" ht="14.25" customHeight="1" x14ac:dyDescent="0.35"/>
    <row r="349" s="1" customFormat="1" ht="14.25" customHeight="1" x14ac:dyDescent="0.35"/>
    <row r="350" s="1" customFormat="1" ht="14.25" customHeight="1" x14ac:dyDescent="0.35"/>
    <row r="351" s="1" customFormat="1" ht="14.25" customHeight="1" x14ac:dyDescent="0.35"/>
    <row r="352" s="1" customFormat="1" ht="14.25" customHeight="1" x14ac:dyDescent="0.35"/>
    <row r="353" s="1" customFormat="1" ht="14.25" customHeight="1" x14ac:dyDescent="0.35"/>
    <row r="354" s="1" customFormat="1" ht="14.25" customHeight="1" x14ac:dyDescent="0.35"/>
    <row r="355" s="1" customFormat="1" ht="14.25" customHeight="1" x14ac:dyDescent="0.35"/>
    <row r="356" s="1" customFormat="1" ht="14.25" customHeight="1" x14ac:dyDescent="0.35"/>
    <row r="357" s="1" customFormat="1" ht="14.25" customHeight="1" x14ac:dyDescent="0.35"/>
    <row r="358" s="1" customFormat="1" ht="14.25" customHeight="1" x14ac:dyDescent="0.35"/>
    <row r="359" s="1" customFormat="1" ht="14.25" customHeight="1" x14ac:dyDescent="0.35"/>
    <row r="360" s="1" customFormat="1" ht="14.25" customHeight="1" x14ac:dyDescent="0.35"/>
    <row r="361" s="1" customFormat="1" ht="14.25" customHeight="1" x14ac:dyDescent="0.35"/>
    <row r="362" s="1" customFormat="1" ht="14.25" customHeight="1" x14ac:dyDescent="0.35"/>
    <row r="363" s="1" customFormat="1" ht="14.25" customHeight="1" x14ac:dyDescent="0.35"/>
    <row r="364" s="1" customFormat="1" ht="14.25" customHeight="1" x14ac:dyDescent="0.35"/>
    <row r="365" s="1" customFormat="1" ht="14.25" customHeight="1" x14ac:dyDescent="0.35"/>
    <row r="366" s="1" customFormat="1" ht="14.25" customHeight="1" x14ac:dyDescent="0.35"/>
    <row r="367" s="1" customFormat="1" ht="14.25" customHeight="1" x14ac:dyDescent="0.35"/>
    <row r="368" s="1" customFormat="1" ht="14.25" customHeight="1" x14ac:dyDescent="0.35"/>
    <row r="369" s="1" customFormat="1" ht="14.25" customHeight="1" x14ac:dyDescent="0.35"/>
    <row r="370" s="1" customFormat="1" ht="14.25" customHeight="1" x14ac:dyDescent="0.35"/>
    <row r="371" s="1" customFormat="1" ht="14.25" customHeight="1" x14ac:dyDescent="0.35"/>
    <row r="372" s="1" customFormat="1" ht="14.25" customHeight="1" x14ac:dyDescent="0.35"/>
    <row r="373" s="1" customFormat="1" ht="14.25" customHeight="1" x14ac:dyDescent="0.35"/>
    <row r="374" s="1" customFormat="1" ht="14.25" customHeight="1" x14ac:dyDescent="0.35"/>
    <row r="375" s="1" customFormat="1" ht="14.25" customHeight="1" x14ac:dyDescent="0.35"/>
    <row r="376" s="1" customFormat="1" ht="14.25" customHeight="1" x14ac:dyDescent="0.35"/>
    <row r="377" s="1" customFormat="1" ht="14.25" customHeight="1" x14ac:dyDescent="0.35"/>
    <row r="378" s="1" customFormat="1" ht="14.25" customHeight="1" x14ac:dyDescent="0.35"/>
    <row r="379" s="1" customFormat="1" ht="14.25" customHeight="1" x14ac:dyDescent="0.35"/>
    <row r="380" s="1" customFormat="1" ht="14.25" customHeight="1" x14ac:dyDescent="0.35"/>
    <row r="381" s="1" customFormat="1" ht="14.25" customHeight="1" x14ac:dyDescent="0.35"/>
    <row r="382" s="1" customFormat="1" ht="14.25" customHeight="1" x14ac:dyDescent="0.35"/>
    <row r="383" s="1" customFormat="1" ht="14.25" customHeight="1" x14ac:dyDescent="0.35"/>
    <row r="384" s="1" customFormat="1" ht="14.25" customHeight="1" x14ac:dyDescent="0.35"/>
    <row r="385" s="1" customFormat="1" ht="14.25" customHeight="1" x14ac:dyDescent="0.35"/>
    <row r="386" s="1" customFormat="1" ht="14.25" customHeight="1" x14ac:dyDescent="0.35"/>
    <row r="387" s="1" customFormat="1" ht="14.25" customHeight="1" x14ac:dyDescent="0.35"/>
    <row r="388" s="1" customFormat="1" ht="14.25" customHeight="1" x14ac:dyDescent="0.35"/>
    <row r="389" s="1" customFormat="1" ht="14.25" customHeight="1" x14ac:dyDescent="0.35"/>
    <row r="390" s="1" customFormat="1" ht="14.25" customHeight="1" x14ac:dyDescent="0.35"/>
    <row r="391" s="1" customFormat="1" ht="14.25" customHeight="1" x14ac:dyDescent="0.35"/>
    <row r="392" s="1" customFormat="1" ht="14.25" customHeight="1" x14ac:dyDescent="0.35"/>
    <row r="393" s="1" customFormat="1" ht="14.25" customHeight="1" x14ac:dyDescent="0.35"/>
    <row r="394" s="1" customFormat="1" ht="14.25" customHeight="1" x14ac:dyDescent="0.35"/>
    <row r="395" s="1" customFormat="1" ht="14.25" customHeight="1" x14ac:dyDescent="0.35"/>
    <row r="396" s="1" customFormat="1" ht="14.25" customHeight="1" x14ac:dyDescent="0.35"/>
    <row r="397" s="1" customFormat="1" ht="14.25" customHeight="1" x14ac:dyDescent="0.35"/>
    <row r="398" s="1" customFormat="1" ht="14.25" customHeight="1" x14ac:dyDescent="0.35"/>
    <row r="399" s="1" customFormat="1" ht="14.25" customHeight="1" x14ac:dyDescent="0.35"/>
    <row r="400" s="1" customFormat="1" ht="14.25" customHeight="1" x14ac:dyDescent="0.35"/>
    <row r="401" s="1" customFormat="1" ht="14.25" customHeight="1" x14ac:dyDescent="0.35"/>
    <row r="402" s="1" customFormat="1" ht="14.25" customHeight="1" x14ac:dyDescent="0.35"/>
    <row r="403" s="1" customFormat="1" ht="14.25" customHeight="1" x14ac:dyDescent="0.35"/>
    <row r="404" s="1" customFormat="1" ht="14.25" customHeight="1" x14ac:dyDescent="0.35"/>
    <row r="405" s="1" customFormat="1" ht="14.25" customHeight="1" x14ac:dyDescent="0.35"/>
    <row r="406" s="1" customFormat="1" ht="14.25" customHeight="1" x14ac:dyDescent="0.35"/>
    <row r="407" s="1" customFormat="1" ht="14.25" customHeight="1" x14ac:dyDescent="0.35"/>
    <row r="408" s="1" customFormat="1" ht="14.25" customHeight="1" x14ac:dyDescent="0.35"/>
    <row r="409" s="1" customFormat="1" ht="14.25" customHeight="1" x14ac:dyDescent="0.35"/>
    <row r="410" s="1" customFormat="1" ht="14.25" customHeight="1" x14ac:dyDescent="0.35"/>
    <row r="411" s="1" customFormat="1" ht="14.25" customHeight="1" x14ac:dyDescent="0.35"/>
    <row r="412" s="1" customFormat="1" ht="14.25" customHeight="1" x14ac:dyDescent="0.35"/>
    <row r="413" s="1" customFormat="1" ht="14.25" customHeight="1" x14ac:dyDescent="0.35"/>
    <row r="414" s="1" customFormat="1" ht="14.25" customHeight="1" x14ac:dyDescent="0.35"/>
    <row r="415" s="1" customFormat="1" ht="14.25" customHeight="1" x14ac:dyDescent="0.35"/>
    <row r="416" s="1" customFormat="1" ht="14.25" customHeight="1" x14ac:dyDescent="0.35"/>
    <row r="417" s="1" customFormat="1" ht="14.25" customHeight="1" x14ac:dyDescent="0.35"/>
    <row r="418" s="1" customFormat="1" ht="14.25" customHeight="1" x14ac:dyDescent="0.35"/>
    <row r="419" s="1" customFormat="1" ht="14.25" customHeight="1" x14ac:dyDescent="0.35"/>
    <row r="420" s="1" customFormat="1" ht="14.25" customHeight="1" x14ac:dyDescent="0.35"/>
    <row r="421" s="1" customFormat="1" ht="14.25" customHeight="1" x14ac:dyDescent="0.35"/>
    <row r="422" s="1" customFormat="1" ht="14.25" customHeight="1" x14ac:dyDescent="0.35"/>
    <row r="423" s="1" customFormat="1" ht="14.25" customHeight="1" x14ac:dyDescent="0.35"/>
    <row r="424" s="1" customFormat="1" ht="14.25" customHeight="1" x14ac:dyDescent="0.35"/>
    <row r="425" s="1" customFormat="1" ht="14.25" customHeight="1" x14ac:dyDescent="0.35"/>
    <row r="426" s="1" customFormat="1" ht="14.25" customHeight="1" x14ac:dyDescent="0.35"/>
    <row r="427" s="1" customFormat="1" ht="14.25" customHeight="1" x14ac:dyDescent="0.35"/>
    <row r="428" s="1" customFormat="1" ht="14.25" customHeight="1" x14ac:dyDescent="0.35"/>
    <row r="429" s="1" customFormat="1" ht="14.25" customHeight="1" x14ac:dyDescent="0.35"/>
    <row r="430" s="1" customFormat="1" ht="14.25" customHeight="1" x14ac:dyDescent="0.35"/>
    <row r="431" s="1" customFormat="1" ht="14.25" customHeight="1" x14ac:dyDescent="0.35"/>
    <row r="432" s="1" customFormat="1" ht="14.25" customHeight="1" x14ac:dyDescent="0.35"/>
    <row r="433" s="1" customFormat="1" ht="14.25" customHeight="1" x14ac:dyDescent="0.35"/>
    <row r="434" s="1" customFormat="1" ht="14.25" customHeight="1" x14ac:dyDescent="0.35"/>
    <row r="435" s="1" customFormat="1" ht="14.25" customHeight="1" x14ac:dyDescent="0.35"/>
    <row r="436" s="1" customFormat="1" ht="14.25" customHeight="1" x14ac:dyDescent="0.35"/>
    <row r="437" s="1" customFormat="1" ht="14.25" customHeight="1" x14ac:dyDescent="0.35"/>
    <row r="438" s="1" customFormat="1" ht="14.25" customHeight="1" x14ac:dyDescent="0.35"/>
    <row r="439" s="1" customFormat="1" ht="14.25" customHeight="1" x14ac:dyDescent="0.35"/>
    <row r="440" s="1" customFormat="1" ht="14.25" customHeight="1" x14ac:dyDescent="0.35"/>
    <row r="441" s="1" customFormat="1" ht="14.25" customHeight="1" x14ac:dyDescent="0.35"/>
    <row r="442" s="1" customFormat="1" ht="14.25" customHeight="1" x14ac:dyDescent="0.35"/>
    <row r="443" s="1" customFormat="1" ht="14.25" customHeight="1" x14ac:dyDescent="0.35"/>
    <row r="444" s="1" customFormat="1" ht="14.25" customHeight="1" x14ac:dyDescent="0.35"/>
    <row r="445" s="1" customFormat="1" ht="14.25" customHeight="1" x14ac:dyDescent="0.35"/>
    <row r="446" s="1" customFormat="1" ht="14.25" customHeight="1" x14ac:dyDescent="0.35"/>
    <row r="447" s="1" customFormat="1" ht="14.25" customHeight="1" x14ac:dyDescent="0.35"/>
    <row r="448" s="1" customFormat="1" ht="14.25" customHeight="1" x14ac:dyDescent="0.35"/>
    <row r="449" s="1" customFormat="1" ht="14.25" customHeight="1" x14ac:dyDescent="0.35"/>
    <row r="450" s="1" customFormat="1" ht="14.25" customHeight="1" x14ac:dyDescent="0.35"/>
    <row r="451" s="1" customFormat="1" ht="14.25" customHeight="1" x14ac:dyDescent="0.35"/>
    <row r="452" s="1" customFormat="1" ht="14.25" customHeight="1" x14ac:dyDescent="0.35"/>
    <row r="453" s="1" customFormat="1" ht="14.25" customHeight="1" x14ac:dyDescent="0.35"/>
    <row r="454" s="1" customFormat="1" ht="14.25" customHeight="1" x14ac:dyDescent="0.35"/>
    <row r="455" s="1" customFormat="1" ht="14.25" customHeight="1" x14ac:dyDescent="0.35"/>
    <row r="456" s="1" customFormat="1" ht="14.25" customHeight="1" x14ac:dyDescent="0.35"/>
    <row r="457" s="1" customFormat="1" ht="14.25" customHeight="1" x14ac:dyDescent="0.35"/>
    <row r="458" s="1" customFormat="1" ht="14.25" customHeight="1" x14ac:dyDescent="0.35"/>
    <row r="459" s="1" customFormat="1" ht="14.25" customHeight="1" x14ac:dyDescent="0.35"/>
    <row r="460" s="1" customFormat="1" ht="14.25" customHeight="1" x14ac:dyDescent="0.35"/>
    <row r="461" s="1" customFormat="1" ht="14.25" customHeight="1" x14ac:dyDescent="0.35"/>
    <row r="462" s="1" customFormat="1" ht="14.25" customHeight="1" x14ac:dyDescent="0.35"/>
    <row r="463" s="1" customFormat="1" ht="14.25" customHeight="1" x14ac:dyDescent="0.35"/>
    <row r="464" s="1" customFormat="1" ht="14.25" customHeight="1" x14ac:dyDescent="0.35"/>
    <row r="465" s="1" customFormat="1" ht="14.25" customHeight="1" x14ac:dyDescent="0.35"/>
    <row r="466" s="1" customFormat="1" ht="14.25" customHeight="1" x14ac:dyDescent="0.35"/>
    <row r="467" s="1" customFormat="1" ht="14.25" customHeight="1" x14ac:dyDescent="0.35"/>
    <row r="468" s="1" customFormat="1" ht="14.25" customHeight="1" x14ac:dyDescent="0.35"/>
    <row r="469" s="1" customFormat="1" ht="14.25" customHeight="1" x14ac:dyDescent="0.35"/>
    <row r="470" s="1" customFormat="1" ht="14.25" customHeight="1" x14ac:dyDescent="0.35"/>
    <row r="471" s="1" customFormat="1" ht="14.25" customHeight="1" x14ac:dyDescent="0.35"/>
    <row r="472" s="1" customFormat="1" ht="14.25" customHeight="1" x14ac:dyDescent="0.35"/>
    <row r="473" s="1" customFormat="1" ht="14.25" customHeight="1" x14ac:dyDescent="0.35"/>
    <row r="474" s="1" customFormat="1" ht="14.25" customHeight="1" x14ac:dyDescent="0.35"/>
    <row r="475" s="1" customFormat="1" ht="14.25" customHeight="1" x14ac:dyDescent="0.35"/>
    <row r="476" s="1" customFormat="1" ht="14.25" customHeight="1" x14ac:dyDescent="0.35"/>
    <row r="477" s="1" customFormat="1" ht="14.25" customHeight="1" x14ac:dyDescent="0.35"/>
    <row r="478" s="1" customFormat="1" ht="14.25" customHeight="1" x14ac:dyDescent="0.35"/>
    <row r="479" s="1" customFormat="1" ht="14.25" customHeight="1" x14ac:dyDescent="0.35"/>
    <row r="480" s="1" customFormat="1" ht="14.25" customHeight="1" x14ac:dyDescent="0.35"/>
    <row r="481" s="1" customFormat="1" ht="14.25" customHeight="1" x14ac:dyDescent="0.35"/>
    <row r="482" s="1" customFormat="1" ht="14.25" customHeight="1" x14ac:dyDescent="0.35"/>
    <row r="483" s="1" customFormat="1" ht="14.25" customHeight="1" x14ac:dyDescent="0.35"/>
    <row r="484" s="1" customFormat="1" ht="14.25" customHeight="1" x14ac:dyDescent="0.35"/>
    <row r="485" s="1" customFormat="1" ht="14.25" customHeight="1" x14ac:dyDescent="0.35"/>
    <row r="486" s="1" customFormat="1" ht="14.25" customHeight="1" x14ac:dyDescent="0.35"/>
    <row r="487" s="1" customFormat="1" ht="14.25" customHeight="1" x14ac:dyDescent="0.35"/>
    <row r="488" s="1" customFormat="1" ht="14.25" customHeight="1" x14ac:dyDescent="0.35"/>
    <row r="489" s="1" customFormat="1" ht="14.25" customHeight="1" x14ac:dyDescent="0.35"/>
    <row r="490" s="1" customFormat="1" ht="14.25" customHeight="1" x14ac:dyDescent="0.35"/>
    <row r="491" s="1" customFormat="1" ht="14.25" customHeight="1" x14ac:dyDescent="0.35"/>
    <row r="492" s="1" customFormat="1" ht="14.25" customHeight="1" x14ac:dyDescent="0.35"/>
    <row r="493" s="1" customFormat="1" ht="14.25" customHeight="1" x14ac:dyDescent="0.35"/>
    <row r="494" s="1" customFormat="1" ht="14.25" customHeight="1" x14ac:dyDescent="0.35"/>
    <row r="495" s="1" customFormat="1" ht="14.25" customHeight="1" x14ac:dyDescent="0.35"/>
    <row r="496" s="1" customFormat="1" ht="14.25" customHeight="1" x14ac:dyDescent="0.35"/>
    <row r="497" s="1" customFormat="1" ht="14.25" customHeight="1" x14ac:dyDescent="0.35"/>
    <row r="498" s="1" customFormat="1" ht="14.25" customHeight="1" x14ac:dyDescent="0.35"/>
    <row r="499" s="1" customFormat="1" ht="14.25" customHeight="1" x14ac:dyDescent="0.35"/>
    <row r="500" s="1" customFormat="1" ht="14.25" customHeight="1" x14ac:dyDescent="0.35"/>
    <row r="501" s="1" customFormat="1" ht="14.25" customHeight="1" x14ac:dyDescent="0.35"/>
    <row r="502" s="1" customFormat="1" ht="14.25" customHeight="1" x14ac:dyDescent="0.35"/>
    <row r="503" s="1" customFormat="1" ht="14.25" customHeight="1" x14ac:dyDescent="0.35"/>
    <row r="504" s="1" customFormat="1" ht="14.25" customHeight="1" x14ac:dyDescent="0.35"/>
    <row r="505" s="1" customFormat="1" ht="14.25" customHeight="1" x14ac:dyDescent="0.35"/>
    <row r="506" s="1" customFormat="1" ht="14.25" customHeight="1" x14ac:dyDescent="0.35"/>
    <row r="507" s="1" customFormat="1" ht="14.25" customHeight="1" x14ac:dyDescent="0.35"/>
    <row r="508" s="1" customFormat="1" ht="14.25" customHeight="1" x14ac:dyDescent="0.35"/>
    <row r="509" s="1" customFormat="1" ht="14.25" customHeight="1" x14ac:dyDescent="0.35"/>
    <row r="510" s="1" customFormat="1" ht="14.25" customHeight="1" x14ac:dyDescent="0.35"/>
    <row r="511" s="1" customFormat="1" ht="14.25" customHeight="1" x14ac:dyDescent="0.35"/>
    <row r="512" s="1" customFormat="1" ht="14.25" customHeight="1" x14ac:dyDescent="0.35"/>
    <row r="513" s="1" customFormat="1" ht="14.25" customHeight="1" x14ac:dyDescent="0.35"/>
    <row r="514" s="1" customFormat="1" ht="14.25" customHeight="1" x14ac:dyDescent="0.35"/>
    <row r="515" s="1" customFormat="1" ht="14.25" customHeight="1" x14ac:dyDescent="0.35"/>
    <row r="516" s="1" customFormat="1" ht="14.25" customHeight="1" x14ac:dyDescent="0.35"/>
    <row r="517" s="1" customFormat="1" ht="14.25" customHeight="1" x14ac:dyDescent="0.35"/>
    <row r="518" s="1" customFormat="1" ht="14.25" customHeight="1" x14ac:dyDescent="0.35"/>
    <row r="519" s="1" customFormat="1" ht="14.25" customHeight="1" x14ac:dyDescent="0.35"/>
    <row r="520" s="1" customFormat="1" ht="14.25" customHeight="1" x14ac:dyDescent="0.35"/>
    <row r="521" s="1" customFormat="1" ht="14.25" customHeight="1" x14ac:dyDescent="0.35"/>
    <row r="522" s="1" customFormat="1" ht="14.25" customHeight="1" x14ac:dyDescent="0.35"/>
    <row r="523" s="1" customFormat="1" ht="14.25" customHeight="1" x14ac:dyDescent="0.35"/>
    <row r="524" s="1" customFormat="1" ht="14.25" customHeight="1" x14ac:dyDescent="0.35"/>
    <row r="525" s="1" customFormat="1" ht="14.25" customHeight="1" x14ac:dyDescent="0.35"/>
    <row r="526" s="1" customFormat="1" ht="14.25" customHeight="1" x14ac:dyDescent="0.35"/>
    <row r="527" s="1" customFormat="1" ht="14.25" customHeight="1" x14ac:dyDescent="0.35"/>
    <row r="528" s="1" customFormat="1" ht="14.25" customHeight="1" x14ac:dyDescent="0.35"/>
    <row r="529" s="1" customFormat="1" ht="14.25" customHeight="1" x14ac:dyDescent="0.35"/>
    <row r="530" s="1" customFormat="1" ht="14.25" customHeight="1" x14ac:dyDescent="0.35"/>
    <row r="531" s="1" customFormat="1" ht="14.25" customHeight="1" x14ac:dyDescent="0.35"/>
    <row r="532" s="1" customFormat="1" ht="14.25" customHeight="1" x14ac:dyDescent="0.35"/>
    <row r="533" s="1" customFormat="1" ht="14.25" customHeight="1" x14ac:dyDescent="0.35"/>
    <row r="534" s="1" customFormat="1" ht="14.25" customHeight="1" x14ac:dyDescent="0.35"/>
    <row r="535" s="1" customFormat="1" ht="14.25" customHeight="1" x14ac:dyDescent="0.35"/>
    <row r="536" s="1" customFormat="1" ht="14.25" customHeight="1" x14ac:dyDescent="0.35"/>
    <row r="537" s="1" customFormat="1" ht="14.25" customHeight="1" x14ac:dyDescent="0.35"/>
    <row r="538" s="1" customFormat="1" ht="14.25" customHeight="1" x14ac:dyDescent="0.35"/>
    <row r="539" s="1" customFormat="1" ht="14.25" customHeight="1" x14ac:dyDescent="0.35"/>
    <row r="540" s="1" customFormat="1" ht="14.25" customHeight="1" x14ac:dyDescent="0.35"/>
    <row r="541" s="1" customFormat="1" ht="14.25" customHeight="1" x14ac:dyDescent="0.35"/>
    <row r="542" s="1" customFormat="1" ht="14.25" customHeight="1" x14ac:dyDescent="0.35"/>
    <row r="543" s="1" customFormat="1" ht="14.25" customHeight="1" x14ac:dyDescent="0.35"/>
    <row r="544" s="1" customFormat="1" ht="14.25" customHeight="1" x14ac:dyDescent="0.35"/>
    <row r="545" s="1" customFormat="1" ht="14.25" customHeight="1" x14ac:dyDescent="0.35"/>
    <row r="546" s="1" customFormat="1" ht="14.25" customHeight="1" x14ac:dyDescent="0.35"/>
    <row r="547" s="1" customFormat="1" ht="14.25" customHeight="1" x14ac:dyDescent="0.35"/>
    <row r="548" s="1" customFormat="1" ht="14.25" customHeight="1" x14ac:dyDescent="0.35"/>
    <row r="549" s="1" customFormat="1" ht="14.25" customHeight="1" x14ac:dyDescent="0.35"/>
    <row r="550" s="1" customFormat="1" ht="14.25" customHeight="1" x14ac:dyDescent="0.35"/>
    <row r="551" s="1" customFormat="1" ht="14.25" customHeight="1" x14ac:dyDescent="0.35"/>
    <row r="552" s="1" customFormat="1" ht="14.25" customHeight="1" x14ac:dyDescent="0.35"/>
    <row r="553" s="1" customFormat="1" ht="14.25" customHeight="1" x14ac:dyDescent="0.35"/>
    <row r="554" s="1" customFormat="1" ht="14.25" customHeight="1" x14ac:dyDescent="0.35"/>
    <row r="555" s="1" customFormat="1" ht="14.25" customHeight="1" x14ac:dyDescent="0.35"/>
    <row r="556" s="1" customFormat="1" ht="14.25" customHeight="1" x14ac:dyDescent="0.35"/>
    <row r="557" s="1" customFormat="1" ht="14.25" customHeight="1" x14ac:dyDescent="0.35"/>
    <row r="558" s="1" customFormat="1" ht="14.25" customHeight="1" x14ac:dyDescent="0.35"/>
    <row r="559" s="1" customFormat="1" ht="14.25" customHeight="1" x14ac:dyDescent="0.35"/>
    <row r="560" s="1" customFormat="1" ht="14.25" customHeight="1" x14ac:dyDescent="0.35"/>
    <row r="561" s="1" customFormat="1" ht="14.25" customHeight="1" x14ac:dyDescent="0.35"/>
    <row r="562" s="1" customFormat="1" ht="14.25" customHeight="1" x14ac:dyDescent="0.35"/>
    <row r="563" s="1" customFormat="1" ht="14.25" customHeight="1" x14ac:dyDescent="0.35"/>
    <row r="564" s="1" customFormat="1" ht="14.25" customHeight="1" x14ac:dyDescent="0.35"/>
    <row r="565" s="1" customFormat="1" ht="14.25" customHeight="1" x14ac:dyDescent="0.35"/>
    <row r="566" s="1" customFormat="1" ht="14.25" customHeight="1" x14ac:dyDescent="0.35"/>
    <row r="567" s="1" customFormat="1" ht="14.25" customHeight="1" x14ac:dyDescent="0.35"/>
    <row r="568" s="1" customFormat="1" ht="14.25" customHeight="1" x14ac:dyDescent="0.35"/>
    <row r="569" s="1" customFormat="1" ht="14.25" customHeight="1" x14ac:dyDescent="0.35"/>
    <row r="570" s="1" customFormat="1" ht="14.25" customHeight="1" x14ac:dyDescent="0.35"/>
    <row r="571" s="1" customFormat="1" ht="14.25" customHeight="1" x14ac:dyDescent="0.35"/>
    <row r="572" s="1" customFormat="1" ht="14.25" customHeight="1" x14ac:dyDescent="0.35"/>
    <row r="573" s="1" customFormat="1" ht="14.25" customHeight="1" x14ac:dyDescent="0.35"/>
    <row r="574" s="1" customFormat="1" ht="14.25" customHeight="1" x14ac:dyDescent="0.35"/>
    <row r="575" s="1" customFormat="1" ht="14.25" customHeight="1" x14ac:dyDescent="0.35"/>
    <row r="576" s="1" customFormat="1" ht="14.25" customHeight="1" x14ac:dyDescent="0.35"/>
    <row r="577" s="1" customFormat="1" ht="14.25" customHeight="1" x14ac:dyDescent="0.35"/>
    <row r="578" s="1" customFormat="1" ht="14.25" customHeight="1" x14ac:dyDescent="0.35"/>
    <row r="579" s="1" customFormat="1" ht="14.25" customHeight="1" x14ac:dyDescent="0.35"/>
    <row r="580" s="1" customFormat="1" ht="14.25" customHeight="1" x14ac:dyDescent="0.35"/>
    <row r="581" s="1" customFormat="1" ht="14.25" customHeight="1" x14ac:dyDescent="0.35"/>
    <row r="582" s="1" customFormat="1" ht="14.25" customHeight="1" x14ac:dyDescent="0.35"/>
    <row r="583" s="1" customFormat="1" ht="14.25" customHeight="1" x14ac:dyDescent="0.35"/>
    <row r="584" s="1" customFormat="1" ht="14.25" customHeight="1" x14ac:dyDescent="0.35"/>
    <row r="585" s="1" customFormat="1" ht="14.25" customHeight="1" x14ac:dyDescent="0.35"/>
    <row r="586" s="1" customFormat="1" ht="14.25" customHeight="1" x14ac:dyDescent="0.35"/>
    <row r="587" s="1" customFormat="1" ht="14.25" customHeight="1" x14ac:dyDescent="0.35"/>
    <row r="588" s="1" customFormat="1" ht="14.25" customHeight="1" x14ac:dyDescent="0.35"/>
    <row r="589" s="1" customFormat="1" ht="14.25" customHeight="1" x14ac:dyDescent="0.35"/>
    <row r="590" s="1" customFormat="1" ht="14.25" customHeight="1" x14ac:dyDescent="0.35"/>
    <row r="591" s="1" customFormat="1" ht="14.25" customHeight="1" x14ac:dyDescent="0.35"/>
    <row r="592" s="1" customFormat="1" ht="14.25" customHeight="1" x14ac:dyDescent="0.35"/>
    <row r="593" s="1" customFormat="1" ht="14.25" customHeight="1" x14ac:dyDescent="0.35"/>
    <row r="594" s="1" customFormat="1" ht="14.25" customHeight="1" x14ac:dyDescent="0.35"/>
    <row r="595" s="1" customFormat="1" ht="14.25" customHeight="1" x14ac:dyDescent="0.35"/>
    <row r="596" s="1" customFormat="1" ht="14.25" customHeight="1" x14ac:dyDescent="0.35"/>
    <row r="597" s="1" customFormat="1" ht="14.25" customHeight="1" x14ac:dyDescent="0.35"/>
    <row r="598" s="1" customFormat="1" ht="14.25" customHeight="1" x14ac:dyDescent="0.35"/>
    <row r="599" s="1" customFormat="1" ht="14.25" customHeight="1" x14ac:dyDescent="0.35"/>
    <row r="600" s="1" customFormat="1" ht="14.25" customHeight="1" x14ac:dyDescent="0.35"/>
    <row r="601" s="1" customFormat="1" ht="14.25" customHeight="1" x14ac:dyDescent="0.35"/>
    <row r="602" s="1" customFormat="1" ht="14.25" customHeight="1" x14ac:dyDescent="0.35"/>
    <row r="603" s="1" customFormat="1" ht="14.25" customHeight="1" x14ac:dyDescent="0.35"/>
    <row r="604" s="1" customFormat="1" ht="14.25" customHeight="1" x14ac:dyDescent="0.35"/>
    <row r="605" s="1" customFormat="1" ht="14.25" customHeight="1" x14ac:dyDescent="0.35"/>
    <row r="606" s="1" customFormat="1" ht="14.25" customHeight="1" x14ac:dyDescent="0.35"/>
    <row r="607" s="1" customFormat="1" ht="14.25" customHeight="1" x14ac:dyDescent="0.35"/>
    <row r="608" s="1" customFormat="1" ht="14.25" customHeight="1" x14ac:dyDescent="0.35"/>
    <row r="609" s="1" customFormat="1" ht="14.25" customHeight="1" x14ac:dyDescent="0.35"/>
    <row r="610" s="1" customFormat="1" ht="14.25" customHeight="1" x14ac:dyDescent="0.35"/>
    <row r="611" s="1" customFormat="1" ht="14.25" customHeight="1" x14ac:dyDescent="0.35"/>
    <row r="612" s="1" customFormat="1" ht="14.25" customHeight="1" x14ac:dyDescent="0.35"/>
    <row r="613" s="1" customFormat="1" ht="14.25" customHeight="1" x14ac:dyDescent="0.35"/>
    <row r="614" s="1" customFormat="1" ht="14.25" customHeight="1" x14ac:dyDescent="0.35"/>
    <row r="615" s="1" customFormat="1" ht="14.25" customHeight="1" x14ac:dyDescent="0.35"/>
    <row r="616" s="1" customFormat="1" ht="14.25" customHeight="1" x14ac:dyDescent="0.35"/>
    <row r="617" s="1" customFormat="1" ht="14.25" customHeight="1" x14ac:dyDescent="0.35"/>
    <row r="618" s="1" customFormat="1" ht="14.25" customHeight="1" x14ac:dyDescent="0.35"/>
    <row r="619" s="1" customFormat="1" ht="14.25" customHeight="1" x14ac:dyDescent="0.35"/>
    <row r="620" s="1" customFormat="1" ht="14.25" customHeight="1" x14ac:dyDescent="0.35"/>
    <row r="621" s="1" customFormat="1" ht="14.25" customHeight="1" x14ac:dyDescent="0.35"/>
    <row r="622" s="1" customFormat="1" ht="14.25" customHeight="1" x14ac:dyDescent="0.35"/>
    <row r="623" s="1" customFormat="1" ht="14.25" customHeight="1" x14ac:dyDescent="0.35"/>
    <row r="624" s="1" customFormat="1" ht="14.25" customHeight="1" x14ac:dyDescent="0.35"/>
    <row r="625" s="1" customFormat="1" ht="14.25" customHeight="1" x14ac:dyDescent="0.35"/>
    <row r="626" s="1" customFormat="1" ht="14.25" customHeight="1" x14ac:dyDescent="0.35"/>
    <row r="627" s="1" customFormat="1" ht="14.25" customHeight="1" x14ac:dyDescent="0.35"/>
    <row r="628" s="1" customFormat="1" ht="14.25" customHeight="1" x14ac:dyDescent="0.35"/>
    <row r="629" s="1" customFormat="1" ht="14.25" customHeight="1" x14ac:dyDescent="0.35"/>
    <row r="630" s="1" customFormat="1" ht="14.25" customHeight="1" x14ac:dyDescent="0.35"/>
    <row r="631" s="1" customFormat="1" ht="14.25" customHeight="1" x14ac:dyDescent="0.35"/>
    <row r="632" s="1" customFormat="1" ht="14.25" customHeight="1" x14ac:dyDescent="0.35"/>
    <row r="633" s="1" customFormat="1" ht="14.25" customHeight="1" x14ac:dyDescent="0.35"/>
    <row r="634" s="1" customFormat="1" ht="14.25" customHeight="1" x14ac:dyDescent="0.35"/>
    <row r="635" s="1" customFormat="1" ht="14.25" customHeight="1" x14ac:dyDescent="0.35"/>
    <row r="636" s="1" customFormat="1" ht="14.25" customHeight="1" x14ac:dyDescent="0.35"/>
    <row r="637" s="1" customFormat="1" ht="14.25" customHeight="1" x14ac:dyDescent="0.35"/>
    <row r="638" s="1" customFormat="1" ht="14.25" customHeight="1" x14ac:dyDescent="0.35"/>
    <row r="639" s="1" customFormat="1" ht="14.25" customHeight="1" x14ac:dyDescent="0.35"/>
    <row r="640" s="1" customFormat="1" ht="14.25" customHeight="1" x14ac:dyDescent="0.35"/>
    <row r="641" s="1" customFormat="1" ht="14.25" customHeight="1" x14ac:dyDescent="0.35"/>
    <row r="642" s="1" customFormat="1" ht="14.25" customHeight="1" x14ac:dyDescent="0.35"/>
    <row r="643" s="1" customFormat="1" ht="14.25" customHeight="1" x14ac:dyDescent="0.35"/>
    <row r="644" s="1" customFormat="1" ht="14.25" customHeight="1" x14ac:dyDescent="0.35"/>
    <row r="645" s="1" customFormat="1" ht="14.25" customHeight="1" x14ac:dyDescent="0.35"/>
    <row r="646" s="1" customFormat="1" ht="14.25" customHeight="1" x14ac:dyDescent="0.35"/>
    <row r="647" s="1" customFormat="1" ht="14.25" customHeight="1" x14ac:dyDescent="0.35"/>
    <row r="648" s="1" customFormat="1" ht="14.25" customHeight="1" x14ac:dyDescent="0.35"/>
    <row r="649" s="1" customFormat="1" ht="14.25" customHeight="1" x14ac:dyDescent="0.35"/>
    <row r="650" s="1" customFormat="1" ht="14.25" customHeight="1" x14ac:dyDescent="0.35"/>
    <row r="651" s="1" customFormat="1" ht="14.25" customHeight="1" x14ac:dyDescent="0.35"/>
    <row r="652" s="1" customFormat="1" ht="14.25" customHeight="1" x14ac:dyDescent="0.35"/>
    <row r="653" s="1" customFormat="1" ht="14.25" customHeight="1" x14ac:dyDescent="0.35"/>
    <row r="654" s="1" customFormat="1" ht="14.25" customHeight="1" x14ac:dyDescent="0.35"/>
    <row r="655" s="1" customFormat="1" ht="14.25" customHeight="1" x14ac:dyDescent="0.35"/>
    <row r="656" s="1" customFormat="1" ht="14.25" customHeight="1" x14ac:dyDescent="0.35"/>
    <row r="657" s="1" customFormat="1" ht="14.25" customHeight="1" x14ac:dyDescent="0.35"/>
    <row r="658" s="1" customFormat="1" ht="14.25" customHeight="1" x14ac:dyDescent="0.35"/>
    <row r="659" s="1" customFormat="1" ht="14.25" customHeight="1" x14ac:dyDescent="0.35"/>
    <row r="660" s="1" customFormat="1" ht="14.25" customHeight="1" x14ac:dyDescent="0.35"/>
    <row r="661" s="1" customFormat="1" ht="14.25" customHeight="1" x14ac:dyDescent="0.35"/>
    <row r="662" s="1" customFormat="1" ht="14.25" customHeight="1" x14ac:dyDescent="0.35"/>
    <row r="663" s="1" customFormat="1" ht="14.25" customHeight="1" x14ac:dyDescent="0.35"/>
    <row r="664" s="1" customFormat="1" ht="14.25" customHeight="1" x14ac:dyDescent="0.35"/>
    <row r="665" s="1" customFormat="1" ht="14.25" customHeight="1" x14ac:dyDescent="0.35"/>
    <row r="666" s="1" customFormat="1" ht="14.25" customHeight="1" x14ac:dyDescent="0.35"/>
    <row r="667" s="1" customFormat="1" ht="14.25" customHeight="1" x14ac:dyDescent="0.35"/>
    <row r="668" s="1" customFormat="1" ht="14.25" customHeight="1" x14ac:dyDescent="0.35"/>
    <row r="669" s="1" customFormat="1" ht="14.25" customHeight="1" x14ac:dyDescent="0.35"/>
    <row r="670" s="1" customFormat="1" ht="14.25" customHeight="1" x14ac:dyDescent="0.35"/>
    <row r="671" s="1" customFormat="1" ht="14.25" customHeight="1" x14ac:dyDescent="0.35"/>
    <row r="672" s="1" customFormat="1" ht="14.25" customHeight="1" x14ac:dyDescent="0.35"/>
    <row r="673" s="1" customFormat="1" ht="14.25" customHeight="1" x14ac:dyDescent="0.35"/>
    <row r="674" s="1" customFormat="1" ht="14.25" customHeight="1" x14ac:dyDescent="0.35"/>
    <row r="675" s="1" customFormat="1" ht="14.25" customHeight="1" x14ac:dyDescent="0.35"/>
    <row r="676" s="1" customFormat="1" ht="14.25" customHeight="1" x14ac:dyDescent="0.35"/>
    <row r="677" s="1" customFormat="1" ht="14.25" customHeight="1" x14ac:dyDescent="0.35"/>
    <row r="678" s="1" customFormat="1" ht="14.25" customHeight="1" x14ac:dyDescent="0.35"/>
    <row r="679" s="1" customFormat="1" ht="14.25" customHeight="1" x14ac:dyDescent="0.35"/>
    <row r="680" s="1" customFormat="1" ht="14.25" customHeight="1" x14ac:dyDescent="0.35"/>
    <row r="681" s="1" customFormat="1" ht="14.25" customHeight="1" x14ac:dyDescent="0.35"/>
    <row r="682" s="1" customFormat="1" ht="14.25" customHeight="1" x14ac:dyDescent="0.35"/>
    <row r="683" s="1" customFormat="1" ht="14.25" customHeight="1" x14ac:dyDescent="0.35"/>
    <row r="684" s="1" customFormat="1" ht="14.25" customHeight="1" x14ac:dyDescent="0.35"/>
    <row r="685" s="1" customFormat="1" ht="14.25" customHeight="1" x14ac:dyDescent="0.35"/>
    <row r="686" s="1" customFormat="1" ht="14.25" customHeight="1" x14ac:dyDescent="0.35"/>
    <row r="687" s="1" customFormat="1" ht="14.25" customHeight="1" x14ac:dyDescent="0.35"/>
    <row r="688" s="1" customFormat="1" ht="14.25" customHeight="1" x14ac:dyDescent="0.35"/>
    <row r="689" s="1" customFormat="1" ht="14.25" customHeight="1" x14ac:dyDescent="0.35"/>
    <row r="690" s="1" customFormat="1" ht="14.25" customHeight="1" x14ac:dyDescent="0.35"/>
    <row r="691" s="1" customFormat="1" ht="14.25" customHeight="1" x14ac:dyDescent="0.35"/>
    <row r="692" s="1" customFormat="1" ht="14.25" customHeight="1" x14ac:dyDescent="0.35"/>
    <row r="693" s="1" customFormat="1" ht="14.25" customHeight="1" x14ac:dyDescent="0.35"/>
    <row r="694" s="1" customFormat="1" ht="14.25" customHeight="1" x14ac:dyDescent="0.35"/>
    <row r="695" s="1" customFormat="1" ht="14.25" customHeight="1" x14ac:dyDescent="0.35"/>
    <row r="696" s="1" customFormat="1" ht="14.25" customHeight="1" x14ac:dyDescent="0.35"/>
    <row r="697" s="1" customFormat="1" ht="14.25" customHeight="1" x14ac:dyDescent="0.35"/>
    <row r="698" s="1" customFormat="1" ht="14.25" customHeight="1" x14ac:dyDescent="0.35"/>
    <row r="699" s="1" customFormat="1" ht="14.25" customHeight="1" x14ac:dyDescent="0.35"/>
    <row r="700" s="1" customFormat="1" ht="14.25" customHeight="1" x14ac:dyDescent="0.35"/>
    <row r="701" s="1" customFormat="1" ht="14.25" customHeight="1" x14ac:dyDescent="0.35"/>
    <row r="702" s="1" customFormat="1" ht="14.25" customHeight="1" x14ac:dyDescent="0.35"/>
    <row r="703" s="1" customFormat="1" ht="14.25" customHeight="1" x14ac:dyDescent="0.35"/>
    <row r="704" s="1" customFormat="1" ht="14.25" customHeight="1" x14ac:dyDescent="0.35"/>
    <row r="705" s="1" customFormat="1" ht="14.25" customHeight="1" x14ac:dyDescent="0.35"/>
    <row r="706" s="1" customFormat="1" ht="14.25" customHeight="1" x14ac:dyDescent="0.35"/>
    <row r="707" s="1" customFormat="1" ht="14.25" customHeight="1" x14ac:dyDescent="0.35"/>
    <row r="708" s="1" customFormat="1" ht="14.25" customHeight="1" x14ac:dyDescent="0.35"/>
    <row r="709" s="1" customFormat="1" ht="14.25" customHeight="1" x14ac:dyDescent="0.35"/>
    <row r="710" s="1" customFormat="1" ht="14.25" customHeight="1" x14ac:dyDescent="0.35"/>
    <row r="711" s="1" customFormat="1" ht="14.25" customHeight="1" x14ac:dyDescent="0.35"/>
    <row r="712" s="1" customFormat="1" ht="14.25" customHeight="1" x14ac:dyDescent="0.35"/>
    <row r="713" s="1" customFormat="1" ht="14.25" customHeight="1" x14ac:dyDescent="0.35"/>
    <row r="714" s="1" customFormat="1" ht="14.25" customHeight="1" x14ac:dyDescent="0.35"/>
    <row r="715" s="1" customFormat="1" ht="14.25" customHeight="1" x14ac:dyDescent="0.35"/>
    <row r="716" s="1" customFormat="1" ht="14.25" customHeight="1" x14ac:dyDescent="0.35"/>
    <row r="717" s="1" customFormat="1" ht="14.25" customHeight="1" x14ac:dyDescent="0.35"/>
    <row r="718" s="1" customFormat="1" ht="14.25" customHeight="1" x14ac:dyDescent="0.35"/>
    <row r="719" s="1" customFormat="1" ht="14.25" customHeight="1" x14ac:dyDescent="0.35"/>
    <row r="720" s="1" customFormat="1" ht="14.25" customHeight="1" x14ac:dyDescent="0.35"/>
    <row r="721" s="1" customFormat="1" ht="14.25" customHeight="1" x14ac:dyDescent="0.35"/>
    <row r="722" s="1" customFormat="1" ht="14.25" customHeight="1" x14ac:dyDescent="0.35"/>
    <row r="723" s="1" customFormat="1" ht="14.25" customHeight="1" x14ac:dyDescent="0.35"/>
    <row r="724" s="1" customFormat="1" ht="14.25" customHeight="1" x14ac:dyDescent="0.35"/>
    <row r="725" s="1" customFormat="1" ht="14.25" customHeight="1" x14ac:dyDescent="0.35"/>
    <row r="726" s="1" customFormat="1" ht="14.25" customHeight="1" x14ac:dyDescent="0.35"/>
    <row r="727" s="1" customFormat="1" ht="14.25" customHeight="1" x14ac:dyDescent="0.35"/>
    <row r="728" s="1" customFormat="1" ht="14.25" customHeight="1" x14ac:dyDescent="0.35"/>
    <row r="729" s="1" customFormat="1" ht="14.25" customHeight="1" x14ac:dyDescent="0.35"/>
    <row r="730" s="1" customFormat="1" ht="14.25" customHeight="1" x14ac:dyDescent="0.35"/>
    <row r="731" s="1" customFormat="1" ht="14.25" customHeight="1" x14ac:dyDescent="0.35"/>
    <row r="732" s="1" customFormat="1" ht="14.25" customHeight="1" x14ac:dyDescent="0.35"/>
    <row r="733" s="1" customFormat="1" ht="14.25" customHeight="1" x14ac:dyDescent="0.35"/>
    <row r="734" s="1" customFormat="1" ht="14.25" customHeight="1" x14ac:dyDescent="0.35"/>
    <row r="735" s="1" customFormat="1" ht="14.25" customHeight="1" x14ac:dyDescent="0.35"/>
    <row r="736" s="1" customFormat="1" ht="14.25" customHeight="1" x14ac:dyDescent="0.35"/>
    <row r="737" s="1" customFormat="1" ht="14.25" customHeight="1" x14ac:dyDescent="0.35"/>
    <row r="738" s="1" customFormat="1" ht="14.25" customHeight="1" x14ac:dyDescent="0.35"/>
    <row r="739" s="1" customFormat="1" ht="14.25" customHeight="1" x14ac:dyDescent="0.35"/>
    <row r="740" s="1" customFormat="1" ht="14.25" customHeight="1" x14ac:dyDescent="0.35"/>
    <row r="741" s="1" customFormat="1" ht="14.25" customHeight="1" x14ac:dyDescent="0.35"/>
    <row r="742" s="1" customFormat="1" ht="14.25" customHeight="1" x14ac:dyDescent="0.35"/>
    <row r="743" s="1" customFormat="1" ht="14.25" customHeight="1" x14ac:dyDescent="0.35"/>
    <row r="744" s="1" customFormat="1" ht="14.25" customHeight="1" x14ac:dyDescent="0.35"/>
    <row r="745" s="1" customFormat="1" ht="14.25" customHeight="1" x14ac:dyDescent="0.35"/>
    <row r="746" s="1" customFormat="1" ht="14.25" customHeight="1" x14ac:dyDescent="0.35"/>
    <row r="747" s="1" customFormat="1" ht="14.25" customHeight="1" x14ac:dyDescent="0.35"/>
    <row r="748" s="1" customFormat="1" ht="14.25" customHeight="1" x14ac:dyDescent="0.35"/>
    <row r="749" s="1" customFormat="1" ht="14.25" customHeight="1" x14ac:dyDescent="0.35"/>
    <row r="750" s="1" customFormat="1" ht="14.25" customHeight="1" x14ac:dyDescent="0.35"/>
    <row r="751" s="1" customFormat="1" ht="14.25" customHeight="1" x14ac:dyDescent="0.35"/>
    <row r="752" s="1" customFormat="1" ht="14.25" customHeight="1" x14ac:dyDescent="0.35"/>
    <row r="753" s="1" customFormat="1" ht="14.25" customHeight="1" x14ac:dyDescent="0.35"/>
    <row r="754" s="1" customFormat="1" ht="14.25" customHeight="1" x14ac:dyDescent="0.35"/>
    <row r="755" s="1" customFormat="1" ht="14.25" customHeight="1" x14ac:dyDescent="0.35"/>
    <row r="756" s="1" customFormat="1" ht="14.25" customHeight="1" x14ac:dyDescent="0.35"/>
    <row r="757" s="1" customFormat="1" ht="14.25" customHeight="1" x14ac:dyDescent="0.35"/>
    <row r="758" s="1" customFormat="1" ht="14.25" customHeight="1" x14ac:dyDescent="0.35"/>
    <row r="759" s="1" customFormat="1" ht="14.25" customHeight="1" x14ac:dyDescent="0.35"/>
    <row r="760" s="1" customFormat="1" ht="14.25" customHeight="1" x14ac:dyDescent="0.35"/>
    <row r="761" s="1" customFormat="1" ht="14.25" customHeight="1" x14ac:dyDescent="0.35"/>
    <row r="762" s="1" customFormat="1" ht="14.25" customHeight="1" x14ac:dyDescent="0.35"/>
    <row r="763" s="1" customFormat="1" ht="14.25" customHeight="1" x14ac:dyDescent="0.35"/>
    <row r="764" s="1" customFormat="1" ht="14.25" customHeight="1" x14ac:dyDescent="0.35"/>
    <row r="765" s="1" customFormat="1" ht="14.25" customHeight="1" x14ac:dyDescent="0.35"/>
    <row r="766" s="1" customFormat="1" ht="14.25" customHeight="1" x14ac:dyDescent="0.35"/>
    <row r="767" s="1" customFormat="1" ht="14.25" customHeight="1" x14ac:dyDescent="0.35"/>
    <row r="768" s="1" customFormat="1" ht="14.25" customHeight="1" x14ac:dyDescent="0.35"/>
    <row r="769" s="1" customFormat="1" ht="14.25" customHeight="1" x14ac:dyDescent="0.35"/>
    <row r="770" s="1" customFormat="1" ht="14.25" customHeight="1" x14ac:dyDescent="0.35"/>
    <row r="771" s="1" customFormat="1" ht="14.25" customHeight="1" x14ac:dyDescent="0.35"/>
    <row r="772" s="1" customFormat="1" ht="14.25" customHeight="1" x14ac:dyDescent="0.35"/>
    <row r="773" s="1" customFormat="1" ht="14.25" customHeight="1" x14ac:dyDescent="0.35"/>
    <row r="774" s="1" customFormat="1" ht="14.25" customHeight="1" x14ac:dyDescent="0.35"/>
    <row r="775" s="1" customFormat="1" ht="14.25" customHeight="1" x14ac:dyDescent="0.35"/>
    <row r="776" s="1" customFormat="1" ht="14.25" customHeight="1" x14ac:dyDescent="0.35"/>
    <row r="777" s="1" customFormat="1" ht="14.25" customHeight="1" x14ac:dyDescent="0.35"/>
    <row r="778" s="1" customFormat="1" ht="14.25" customHeight="1" x14ac:dyDescent="0.35"/>
    <row r="779" s="1" customFormat="1" ht="14.25" customHeight="1" x14ac:dyDescent="0.35"/>
    <row r="780" s="1" customFormat="1" ht="14.25" customHeight="1" x14ac:dyDescent="0.35"/>
    <row r="781" s="1" customFormat="1" ht="14.25" customHeight="1" x14ac:dyDescent="0.35"/>
    <row r="782" s="1" customFormat="1" ht="14.25" customHeight="1" x14ac:dyDescent="0.35"/>
    <row r="783" s="1" customFormat="1" ht="14.25" customHeight="1" x14ac:dyDescent="0.35"/>
    <row r="784" s="1" customFormat="1" ht="14.25" customHeight="1" x14ac:dyDescent="0.35"/>
    <row r="785" s="1" customFormat="1" ht="14.25" customHeight="1" x14ac:dyDescent="0.35"/>
    <row r="786" s="1" customFormat="1" ht="14.25" customHeight="1" x14ac:dyDescent="0.35"/>
    <row r="787" s="1" customFormat="1" ht="14.25" customHeight="1" x14ac:dyDescent="0.35"/>
    <row r="788" s="1" customFormat="1" ht="14.25" customHeight="1" x14ac:dyDescent="0.35"/>
    <row r="789" s="1" customFormat="1" ht="14.25" customHeight="1" x14ac:dyDescent="0.35"/>
    <row r="790" s="1" customFormat="1" ht="14.25" customHeight="1" x14ac:dyDescent="0.35"/>
    <row r="791" s="1" customFormat="1" ht="14.25" customHeight="1" x14ac:dyDescent="0.35"/>
    <row r="792" s="1" customFormat="1" ht="14.25" customHeight="1" x14ac:dyDescent="0.35"/>
    <row r="793" s="1" customFormat="1" ht="14.25" customHeight="1" x14ac:dyDescent="0.35"/>
    <row r="794" s="1" customFormat="1" ht="14.25" customHeight="1" x14ac:dyDescent="0.35"/>
    <row r="795" s="1" customFormat="1" ht="14.25" customHeight="1" x14ac:dyDescent="0.35"/>
    <row r="796" s="1" customFormat="1" ht="14.25" customHeight="1" x14ac:dyDescent="0.35"/>
    <row r="797" s="1" customFormat="1" ht="14.25" customHeight="1" x14ac:dyDescent="0.35"/>
    <row r="798" s="1" customFormat="1" ht="14.25" customHeight="1" x14ac:dyDescent="0.35"/>
    <row r="799" s="1" customFormat="1" ht="14.25" customHeight="1" x14ac:dyDescent="0.35"/>
    <row r="800" s="1" customFormat="1" ht="14.25" customHeight="1" x14ac:dyDescent="0.35"/>
    <row r="801" s="1" customFormat="1" ht="14.25" customHeight="1" x14ac:dyDescent="0.35"/>
    <row r="802" s="1" customFormat="1" ht="14.25" customHeight="1" x14ac:dyDescent="0.35"/>
    <row r="803" s="1" customFormat="1" ht="14.25" customHeight="1" x14ac:dyDescent="0.35"/>
    <row r="804" s="1" customFormat="1" ht="14.25" customHeight="1" x14ac:dyDescent="0.35"/>
    <row r="805" s="1" customFormat="1" ht="14.25" customHeight="1" x14ac:dyDescent="0.35"/>
    <row r="806" s="1" customFormat="1" ht="14.25" customHeight="1" x14ac:dyDescent="0.35"/>
    <row r="807" s="1" customFormat="1" ht="14.25" customHeight="1" x14ac:dyDescent="0.35"/>
    <row r="808" s="1" customFormat="1" ht="14.25" customHeight="1" x14ac:dyDescent="0.35"/>
    <row r="809" s="1" customFormat="1" ht="14.25" customHeight="1" x14ac:dyDescent="0.35"/>
    <row r="810" s="1" customFormat="1" ht="14.25" customHeight="1" x14ac:dyDescent="0.35"/>
    <row r="811" s="1" customFormat="1" ht="14.25" customHeight="1" x14ac:dyDescent="0.35"/>
    <row r="812" s="1" customFormat="1" ht="14.25" customHeight="1" x14ac:dyDescent="0.35"/>
    <row r="813" s="1" customFormat="1" ht="14.25" customHeight="1" x14ac:dyDescent="0.35"/>
    <row r="814" s="1" customFormat="1" ht="14.25" customHeight="1" x14ac:dyDescent="0.35"/>
    <row r="815" s="1" customFormat="1" ht="14.25" customHeight="1" x14ac:dyDescent="0.35"/>
    <row r="816" s="1" customFormat="1" ht="14.25" customHeight="1" x14ac:dyDescent="0.35"/>
    <row r="817" s="1" customFormat="1" ht="14.25" customHeight="1" x14ac:dyDescent="0.35"/>
    <row r="818" s="1" customFormat="1" ht="14.25" customHeight="1" x14ac:dyDescent="0.35"/>
    <row r="819" s="1" customFormat="1" ht="14.25" customHeight="1" x14ac:dyDescent="0.35"/>
    <row r="820" s="1" customFormat="1" ht="14.25" customHeight="1" x14ac:dyDescent="0.35"/>
    <row r="821" s="1" customFormat="1" ht="14.25" customHeight="1" x14ac:dyDescent="0.35"/>
    <row r="822" s="1" customFormat="1" ht="14.25" customHeight="1" x14ac:dyDescent="0.35"/>
    <row r="823" s="1" customFormat="1" ht="14.25" customHeight="1" x14ac:dyDescent="0.35"/>
    <row r="824" s="1" customFormat="1" ht="14.25" customHeight="1" x14ac:dyDescent="0.35"/>
    <row r="825" s="1" customFormat="1" ht="14.25" customHeight="1" x14ac:dyDescent="0.35"/>
    <row r="826" s="1" customFormat="1" ht="14.25" customHeight="1" x14ac:dyDescent="0.35"/>
    <row r="827" s="1" customFormat="1" ht="14.25" customHeight="1" x14ac:dyDescent="0.35"/>
    <row r="828" s="1" customFormat="1" ht="14.25" customHeight="1" x14ac:dyDescent="0.35"/>
    <row r="829" s="1" customFormat="1" ht="14.25" customHeight="1" x14ac:dyDescent="0.35"/>
    <row r="830" s="1" customFormat="1" ht="14.25" customHeight="1" x14ac:dyDescent="0.35"/>
    <row r="831" s="1" customFormat="1" ht="14.25" customHeight="1" x14ac:dyDescent="0.35"/>
    <row r="832" s="1" customFormat="1" ht="14.25" customHeight="1" x14ac:dyDescent="0.35"/>
    <row r="833" s="1" customFormat="1" ht="14.25" customHeight="1" x14ac:dyDescent="0.35"/>
    <row r="834" s="1" customFormat="1" ht="14.25" customHeight="1" x14ac:dyDescent="0.35"/>
    <row r="835" s="1" customFormat="1" ht="14.25" customHeight="1" x14ac:dyDescent="0.35"/>
    <row r="836" s="1" customFormat="1" ht="14.25" customHeight="1" x14ac:dyDescent="0.35"/>
    <row r="837" s="1" customFormat="1" ht="14.25" customHeight="1" x14ac:dyDescent="0.35"/>
    <row r="838" s="1" customFormat="1" ht="14.25" customHeight="1" x14ac:dyDescent="0.35"/>
    <row r="839" s="1" customFormat="1" ht="14.25" customHeight="1" x14ac:dyDescent="0.35"/>
    <row r="840" s="1" customFormat="1" ht="14.25" customHeight="1" x14ac:dyDescent="0.35"/>
    <row r="841" s="1" customFormat="1" ht="14.25" customHeight="1" x14ac:dyDescent="0.35"/>
    <row r="842" s="1" customFormat="1" ht="14.25" customHeight="1" x14ac:dyDescent="0.35"/>
    <row r="843" s="1" customFormat="1" ht="14.25" customHeight="1" x14ac:dyDescent="0.35"/>
    <row r="844" s="1" customFormat="1" ht="14.25" customHeight="1" x14ac:dyDescent="0.35"/>
    <row r="845" s="1" customFormat="1" ht="14.25" customHeight="1" x14ac:dyDescent="0.35"/>
    <row r="846" s="1" customFormat="1" ht="14.25" customHeight="1" x14ac:dyDescent="0.35"/>
    <row r="847" s="1" customFormat="1" ht="14.25" customHeight="1" x14ac:dyDescent="0.35"/>
    <row r="848" s="1" customFormat="1" ht="14.25" customHeight="1" x14ac:dyDescent="0.35"/>
    <row r="849" s="1" customFormat="1" ht="14.25" customHeight="1" x14ac:dyDescent="0.35"/>
    <row r="850" s="1" customFormat="1" ht="14.25" customHeight="1" x14ac:dyDescent="0.35"/>
    <row r="851" s="1" customFormat="1" ht="14.25" customHeight="1" x14ac:dyDescent="0.35"/>
    <row r="852" s="1" customFormat="1" ht="14.25" customHeight="1" x14ac:dyDescent="0.35"/>
    <row r="853" s="1" customFormat="1" ht="14.25" customHeight="1" x14ac:dyDescent="0.35"/>
    <row r="854" s="1" customFormat="1" ht="14.25" customHeight="1" x14ac:dyDescent="0.35"/>
    <row r="855" s="1" customFormat="1" ht="14.25" customHeight="1" x14ac:dyDescent="0.35"/>
    <row r="856" s="1" customFormat="1" ht="14.25" customHeight="1" x14ac:dyDescent="0.35"/>
    <row r="857" s="1" customFormat="1" ht="14.25" customHeight="1" x14ac:dyDescent="0.35"/>
    <row r="858" s="1" customFormat="1" ht="14.25" customHeight="1" x14ac:dyDescent="0.35"/>
    <row r="859" s="1" customFormat="1" ht="14.25" customHeight="1" x14ac:dyDescent="0.35"/>
    <row r="860" s="1" customFormat="1" ht="14.25" customHeight="1" x14ac:dyDescent="0.35"/>
    <row r="861" s="1" customFormat="1" ht="14.25" customHeight="1" x14ac:dyDescent="0.35"/>
    <row r="862" s="1" customFormat="1" ht="14.25" customHeight="1" x14ac:dyDescent="0.35"/>
    <row r="863" s="1" customFormat="1" ht="14.25" customHeight="1" x14ac:dyDescent="0.35"/>
    <row r="864" s="1" customFormat="1" ht="14.25" customHeight="1" x14ac:dyDescent="0.35"/>
    <row r="865" s="1" customFormat="1" ht="14.25" customHeight="1" x14ac:dyDescent="0.35"/>
    <row r="866" s="1" customFormat="1" ht="14.25" customHeight="1" x14ac:dyDescent="0.35"/>
    <row r="867" s="1" customFormat="1" ht="14.25" customHeight="1" x14ac:dyDescent="0.35"/>
    <row r="868" s="1" customFormat="1" ht="14.25" customHeight="1" x14ac:dyDescent="0.35"/>
    <row r="869" s="1" customFormat="1" ht="14.25" customHeight="1" x14ac:dyDescent="0.35"/>
    <row r="870" s="1" customFormat="1" ht="14.25" customHeight="1" x14ac:dyDescent="0.35"/>
    <row r="871" s="1" customFormat="1" ht="14.25" customHeight="1" x14ac:dyDescent="0.35"/>
    <row r="872" s="1" customFormat="1" ht="14.25" customHeight="1" x14ac:dyDescent="0.35"/>
    <row r="873" s="1" customFormat="1" ht="14.25" customHeight="1" x14ac:dyDescent="0.35"/>
    <row r="874" s="1" customFormat="1" ht="14.25" customHeight="1" x14ac:dyDescent="0.35"/>
    <row r="875" s="1" customFormat="1" ht="14.25" customHeight="1" x14ac:dyDescent="0.35"/>
    <row r="876" s="1" customFormat="1" ht="14.25" customHeight="1" x14ac:dyDescent="0.35"/>
    <row r="877" s="1" customFormat="1" ht="14.25" customHeight="1" x14ac:dyDescent="0.35"/>
    <row r="878" s="1" customFormat="1" ht="14.25" customHeight="1" x14ac:dyDescent="0.35"/>
    <row r="879" s="1" customFormat="1" ht="14.25" customHeight="1" x14ac:dyDescent="0.35"/>
    <row r="880" s="1" customFormat="1" ht="14.25" customHeight="1" x14ac:dyDescent="0.35"/>
    <row r="881" s="1" customFormat="1" ht="14.25" customHeight="1" x14ac:dyDescent="0.35"/>
    <row r="882" s="1" customFormat="1" ht="14.25" customHeight="1" x14ac:dyDescent="0.35"/>
    <row r="883" s="1" customFormat="1" ht="14.25" customHeight="1" x14ac:dyDescent="0.35"/>
    <row r="884" s="1" customFormat="1" ht="14.25" customHeight="1" x14ac:dyDescent="0.35"/>
    <row r="885" s="1" customFormat="1" ht="14.25" customHeight="1" x14ac:dyDescent="0.35"/>
    <row r="886" s="1" customFormat="1" ht="14.25" customHeight="1" x14ac:dyDescent="0.35"/>
    <row r="887" s="1" customFormat="1" ht="14.25" customHeight="1" x14ac:dyDescent="0.35"/>
    <row r="888" s="1" customFormat="1" ht="14.25" customHeight="1" x14ac:dyDescent="0.35"/>
    <row r="889" s="1" customFormat="1" ht="14.25" customHeight="1" x14ac:dyDescent="0.35"/>
    <row r="890" s="1" customFormat="1" ht="14.25" customHeight="1" x14ac:dyDescent="0.35"/>
    <row r="891" s="1" customFormat="1" ht="14.25" customHeight="1" x14ac:dyDescent="0.35"/>
    <row r="892" s="1" customFormat="1" ht="14.25" customHeight="1" x14ac:dyDescent="0.35"/>
    <row r="893" s="1" customFormat="1" ht="14.25" customHeight="1" x14ac:dyDescent="0.35"/>
    <row r="894" s="1" customFormat="1" ht="14.25" customHeight="1" x14ac:dyDescent="0.35"/>
    <row r="895" s="1" customFormat="1" ht="14.25" customHeight="1" x14ac:dyDescent="0.35"/>
    <row r="896" s="1" customFormat="1" ht="14.25" customHeight="1" x14ac:dyDescent="0.35"/>
    <row r="897" s="1" customFormat="1" ht="14.25" customHeight="1" x14ac:dyDescent="0.35"/>
    <row r="898" s="1" customFormat="1" ht="14.25" customHeight="1" x14ac:dyDescent="0.35"/>
    <row r="899" s="1" customFormat="1" ht="14.25" customHeight="1" x14ac:dyDescent="0.35"/>
    <row r="900" s="1" customFormat="1" ht="14.25" customHeight="1" x14ac:dyDescent="0.35"/>
    <row r="901" s="1" customFormat="1" ht="14.25" customHeight="1" x14ac:dyDescent="0.35"/>
    <row r="902" s="1" customFormat="1" ht="14.25" customHeight="1" x14ac:dyDescent="0.35"/>
    <row r="903" s="1" customFormat="1" ht="14.25" customHeight="1" x14ac:dyDescent="0.35"/>
    <row r="904" s="1" customFormat="1" ht="14.25" customHeight="1" x14ac:dyDescent="0.35"/>
    <row r="905" s="1" customFormat="1" ht="14.25" customHeight="1" x14ac:dyDescent="0.35"/>
    <row r="906" s="1" customFormat="1" ht="14.25" customHeight="1" x14ac:dyDescent="0.35"/>
    <row r="907" s="1" customFormat="1" ht="14.25" customHeight="1" x14ac:dyDescent="0.35"/>
    <row r="908" s="1" customFormat="1" ht="14.25" customHeight="1" x14ac:dyDescent="0.35"/>
    <row r="909" s="1" customFormat="1" ht="14.25" customHeight="1" x14ac:dyDescent="0.35"/>
    <row r="910" s="1" customFormat="1" ht="14.25" customHeight="1" x14ac:dyDescent="0.35"/>
    <row r="911" s="1" customFormat="1" ht="14.25" customHeight="1" x14ac:dyDescent="0.35"/>
    <row r="912" s="1" customFormat="1" ht="14.25" customHeight="1" x14ac:dyDescent="0.35"/>
    <row r="913" s="1" customFormat="1" ht="14.25" customHeight="1" x14ac:dyDescent="0.35"/>
    <row r="914" s="1" customFormat="1" ht="14.25" customHeight="1" x14ac:dyDescent="0.35"/>
    <row r="915" s="1" customFormat="1" ht="14.25" customHeight="1" x14ac:dyDescent="0.35"/>
    <row r="916" s="1" customFormat="1" ht="14.25" customHeight="1" x14ac:dyDescent="0.35"/>
    <row r="917" s="1" customFormat="1" ht="14.25" customHeight="1" x14ac:dyDescent="0.35"/>
    <row r="918" s="1" customFormat="1" ht="14.25" customHeight="1" x14ac:dyDescent="0.35"/>
    <row r="919" s="1" customFormat="1" ht="14.25" customHeight="1" x14ac:dyDescent="0.35"/>
    <row r="920" s="1" customFormat="1" ht="14.25" customHeight="1" x14ac:dyDescent="0.35"/>
    <row r="921" s="1" customFormat="1" ht="14.25" customHeight="1" x14ac:dyDescent="0.35"/>
    <row r="922" s="1" customFormat="1" ht="14.25" customHeight="1" x14ac:dyDescent="0.35"/>
    <row r="923" s="1" customFormat="1" ht="14.25" customHeight="1" x14ac:dyDescent="0.35"/>
    <row r="924" s="1" customFormat="1" ht="14.25" customHeight="1" x14ac:dyDescent="0.35"/>
    <row r="925" s="1" customFormat="1" ht="14.25" customHeight="1" x14ac:dyDescent="0.35"/>
    <row r="926" s="1" customFormat="1" ht="14.25" customHeight="1" x14ac:dyDescent="0.35"/>
    <row r="927" s="1" customFormat="1" ht="14.25" customHeight="1" x14ac:dyDescent="0.35"/>
    <row r="928" s="1" customFormat="1" ht="14.25" customHeight="1" x14ac:dyDescent="0.35"/>
    <row r="929" s="1" customFormat="1" ht="14.25" customHeight="1" x14ac:dyDescent="0.35"/>
    <row r="930" s="1" customFormat="1" ht="14.25" customHeight="1" x14ac:dyDescent="0.35"/>
    <row r="931" s="1" customFormat="1" ht="14.25" customHeight="1" x14ac:dyDescent="0.35"/>
    <row r="932" s="1" customFormat="1" ht="14.25" customHeight="1" x14ac:dyDescent="0.35"/>
    <row r="933" s="1" customFormat="1" ht="14.25" customHeight="1" x14ac:dyDescent="0.35"/>
    <row r="934" s="1" customFormat="1" ht="14.25" customHeight="1" x14ac:dyDescent="0.35"/>
    <row r="935" s="1" customFormat="1" ht="14.25" customHeight="1" x14ac:dyDescent="0.35"/>
    <row r="936" s="1" customFormat="1" ht="14.25" customHeight="1" x14ac:dyDescent="0.35"/>
    <row r="937" s="1" customFormat="1" ht="14.25" customHeight="1" x14ac:dyDescent="0.35"/>
    <row r="938" s="1" customFormat="1" ht="14.25" customHeight="1" x14ac:dyDescent="0.35"/>
    <row r="939" s="1" customFormat="1" ht="14.25" customHeight="1" x14ac:dyDescent="0.35"/>
    <row r="940" s="1" customFormat="1" ht="14.25" customHeight="1" x14ac:dyDescent="0.35"/>
    <row r="941" s="1" customFormat="1" ht="14.25" customHeight="1" x14ac:dyDescent="0.35"/>
    <row r="942" s="1" customFormat="1" ht="14.25" customHeight="1" x14ac:dyDescent="0.35"/>
    <row r="943" s="1" customFormat="1" ht="14.25" customHeight="1" x14ac:dyDescent="0.35"/>
    <row r="944" s="1" customFormat="1" ht="14.25" customHeight="1" x14ac:dyDescent="0.35"/>
    <row r="945" s="1" customFormat="1" ht="14.25" customHeight="1" x14ac:dyDescent="0.35"/>
    <row r="946" s="1" customFormat="1" ht="14.25" customHeight="1" x14ac:dyDescent="0.35"/>
    <row r="947" s="1" customFormat="1" ht="14.25" customHeight="1" x14ac:dyDescent="0.35"/>
    <row r="948" s="1" customFormat="1" ht="14.25" customHeight="1" x14ac:dyDescent="0.35"/>
    <row r="949" s="1" customFormat="1" ht="14.25" customHeight="1" x14ac:dyDescent="0.35"/>
    <row r="950" s="1" customFormat="1" ht="14.25" customHeight="1" x14ac:dyDescent="0.35"/>
    <row r="951" s="1" customFormat="1" ht="14.25" customHeight="1" x14ac:dyDescent="0.35"/>
    <row r="952" s="1" customFormat="1" ht="14.25" customHeight="1" x14ac:dyDescent="0.35"/>
    <row r="953" s="1" customFormat="1" ht="14.25" customHeight="1" x14ac:dyDescent="0.35"/>
    <row r="954" s="1" customFormat="1" ht="14.25" customHeight="1" x14ac:dyDescent="0.35"/>
    <row r="955" s="1" customFormat="1" ht="14.25" customHeight="1" x14ac:dyDescent="0.35"/>
    <row r="956" s="1" customFormat="1" ht="14.25" customHeight="1" x14ac:dyDescent="0.35"/>
    <row r="957" s="1" customFormat="1" ht="14.25" customHeight="1" x14ac:dyDescent="0.35"/>
    <row r="958" s="1" customFormat="1" ht="14.25" customHeight="1" x14ac:dyDescent="0.35"/>
    <row r="959" s="1" customFormat="1" ht="14.25" customHeight="1" x14ac:dyDescent="0.35"/>
    <row r="960" s="1" customFormat="1" ht="14.25" customHeight="1" x14ac:dyDescent="0.35"/>
    <row r="961" s="1" customFormat="1" ht="14.25" customHeight="1" x14ac:dyDescent="0.35"/>
    <row r="962" s="1" customFormat="1" ht="14.25" customHeight="1" x14ac:dyDescent="0.35"/>
    <row r="963" s="1" customFormat="1" ht="14.25" customHeight="1" x14ac:dyDescent="0.35"/>
    <row r="964" s="1" customFormat="1" ht="14.25" customHeight="1" x14ac:dyDescent="0.35"/>
    <row r="965" s="1" customFormat="1" ht="14.25" customHeight="1" x14ac:dyDescent="0.35"/>
    <row r="966" s="1" customFormat="1" ht="14.25" customHeight="1" x14ac:dyDescent="0.35"/>
    <row r="967" s="1" customFormat="1" ht="14.25" customHeight="1" x14ac:dyDescent="0.35"/>
    <row r="968" s="1" customFormat="1" ht="14.25" customHeight="1" x14ac:dyDescent="0.35"/>
    <row r="969" s="1" customFormat="1" ht="14.25" customHeight="1" x14ac:dyDescent="0.35"/>
    <row r="970" s="1" customFormat="1" ht="14.25" customHeight="1" x14ac:dyDescent="0.35"/>
    <row r="971" s="1" customFormat="1" ht="14.25" customHeight="1" x14ac:dyDescent="0.35"/>
    <row r="972" s="1" customFormat="1" ht="14.25" customHeight="1" x14ac:dyDescent="0.35"/>
    <row r="973" s="1" customFormat="1" ht="14.25" customHeight="1" x14ac:dyDescent="0.35"/>
    <row r="974" s="1" customFormat="1" ht="14.25" customHeight="1" x14ac:dyDescent="0.35"/>
    <row r="975" s="1" customFormat="1" ht="14.25" customHeight="1" x14ac:dyDescent="0.35"/>
    <row r="976" s="1" customFormat="1" ht="14.25" customHeight="1" x14ac:dyDescent="0.35"/>
    <row r="977" s="1" customFormat="1" ht="14.25" customHeight="1" x14ac:dyDescent="0.35"/>
    <row r="978" s="1" customFormat="1" ht="14.25" customHeight="1" x14ac:dyDescent="0.35"/>
    <row r="979" s="1" customFormat="1" ht="14.25" customHeight="1" x14ac:dyDescent="0.35"/>
    <row r="980" s="1" customFormat="1" ht="14.25" customHeight="1" x14ac:dyDescent="0.35"/>
    <row r="981" s="1" customFormat="1" ht="14.25" customHeight="1" x14ac:dyDescent="0.35"/>
    <row r="982" s="1" customFormat="1" ht="14.25" customHeight="1" x14ac:dyDescent="0.35"/>
    <row r="983" s="1" customFormat="1" ht="14.25" customHeight="1" x14ac:dyDescent="0.35"/>
    <row r="984" s="1" customFormat="1" ht="14.25" customHeight="1" x14ac:dyDescent="0.35"/>
    <row r="985" s="1" customFormat="1" ht="14.25" customHeight="1" x14ac:dyDescent="0.35"/>
    <row r="986" s="1" customFormat="1" ht="14.25" customHeight="1" x14ac:dyDescent="0.35"/>
    <row r="987" s="1" customFormat="1" ht="14.25" customHeight="1" x14ac:dyDescent="0.35"/>
    <row r="988" s="1" customFormat="1" ht="14.25" customHeight="1" x14ac:dyDescent="0.35"/>
    <row r="989" s="1" customFormat="1" ht="14.25" customHeight="1" x14ac:dyDescent="0.35"/>
    <row r="990" s="1" customFormat="1" ht="14.25" customHeight="1" x14ac:dyDescent="0.35"/>
    <row r="991" s="1" customFormat="1" ht="14.25" customHeight="1" x14ac:dyDescent="0.35"/>
    <row r="992" s="1" customFormat="1" ht="14.25" customHeight="1" x14ac:dyDescent="0.35"/>
    <row r="993" s="1" customFormat="1" ht="14.25" customHeight="1" x14ac:dyDescent="0.35"/>
    <row r="994" s="1" customFormat="1" ht="14.25" customHeight="1" x14ac:dyDescent="0.35"/>
    <row r="995" s="1" customFormat="1" ht="14.25" customHeight="1" x14ac:dyDescent="0.35"/>
    <row r="996" s="1" customFormat="1" ht="14.25" customHeight="1" x14ac:dyDescent="0.35"/>
    <row r="997" s="1" customFormat="1" ht="14.25" customHeight="1" x14ac:dyDescent="0.35"/>
    <row r="998" s="1" customFormat="1" ht="14.25" customHeight="1" x14ac:dyDescent="0.35"/>
    <row r="999" s="1" customFormat="1" ht="14.25" customHeight="1" x14ac:dyDescent="0.35"/>
    <row r="1000" s="1" customFormat="1" ht="14.25" customHeight="1" x14ac:dyDescent="0.35"/>
  </sheetData>
  <conditionalFormatting sqref="H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94DB252-BFA2-4EC0-8EA9-3193B57EB7F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2026-02-19T08:12:01Z</dcterms:created>
  <dcterms:modified xsi:type="dcterms:W3CDTF">2026-02-19T08:30:22Z</dcterms:modified>
</cp:coreProperties>
</file>